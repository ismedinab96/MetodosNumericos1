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Informatica\Carrera Informatica\5to\Metodos Numericos\"/>
    </mc:Choice>
  </mc:AlternateContent>
  <xr:revisionPtr revIDLastSave="0" documentId="13_ncr:1_{4A797029-5A37-4CCA-A07E-68A9B2E2DD42}" xr6:coauthVersionLast="47" xr6:coauthVersionMax="47" xr10:uidLastSave="{00000000-0000-0000-0000-000000000000}"/>
  <bookViews>
    <workbookView xWindow="-120" yWindow="-120" windowWidth="29040" windowHeight="15720" activeTab="2" xr2:uid="{C50AEA1B-D0F9-429E-B640-AFCF0CF8E867}"/>
  </bookViews>
  <sheets>
    <sheet name="Metodo Gauss-Seidel" sheetId="1" r:id="rId1"/>
    <sheet name="Metodo SOR" sheetId="4" r:id="rId2"/>
    <sheet name="Metodo GC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D19" i="1" s="1"/>
  <c r="E19" i="1" s="1"/>
  <c r="C20" i="1" s="1"/>
  <c r="C24" i="5"/>
  <c r="D24" i="5"/>
  <c r="E24" i="5"/>
  <c r="F24" i="5"/>
  <c r="O24" i="5" s="1"/>
  <c r="G24" i="5"/>
  <c r="H24" i="5"/>
  <c r="F23" i="5"/>
  <c r="G23" i="5"/>
  <c r="H23" i="5"/>
  <c r="O23" i="5"/>
  <c r="E23" i="5"/>
  <c r="D23" i="5"/>
  <c r="C23" i="5"/>
  <c r="P22" i="5"/>
  <c r="N22" i="5"/>
  <c r="M22" i="5"/>
  <c r="L22" i="5"/>
  <c r="K22" i="5"/>
  <c r="J22" i="5"/>
  <c r="I22" i="5"/>
  <c r="Q22" i="5"/>
  <c r="O21" i="5"/>
  <c r="H21" i="5"/>
  <c r="K21" i="5" s="1"/>
  <c r="G21" i="5"/>
  <c r="J21" i="5" s="1"/>
  <c r="F21" i="5"/>
  <c r="E22" i="4"/>
  <c r="D22" i="4"/>
  <c r="C22" i="4"/>
  <c r="E21" i="4"/>
  <c r="D21" i="4"/>
  <c r="C21" i="4"/>
  <c r="D20" i="1" l="1"/>
  <c r="E20" i="1"/>
  <c r="F20" i="1"/>
  <c r="Q24" i="5"/>
  <c r="Q23" i="5"/>
  <c r="I21" i="5"/>
  <c r="F19" i="1"/>
  <c r="C23" i="4"/>
  <c r="C21" i="1" l="1"/>
  <c r="I24" i="5"/>
  <c r="J24" i="5"/>
  <c r="K24" i="5"/>
  <c r="I23" i="5"/>
  <c r="K23" i="5"/>
  <c r="J23" i="5"/>
  <c r="N21" i="5"/>
  <c r="L21" i="5"/>
  <c r="M21" i="5"/>
  <c r="D23" i="4"/>
  <c r="E23" i="4" s="1"/>
  <c r="D21" i="1" l="1"/>
  <c r="L24" i="5"/>
  <c r="N24" i="5"/>
  <c r="M24" i="5"/>
  <c r="L23" i="5"/>
  <c r="M23" i="5"/>
  <c r="N23" i="5"/>
  <c r="P21" i="5"/>
  <c r="C24" i="4"/>
  <c r="D24" i="4" s="1"/>
  <c r="F21" i="4"/>
  <c r="E21" i="1" l="1"/>
  <c r="F21" i="1" s="1"/>
  <c r="C22" i="1"/>
  <c r="P24" i="5"/>
  <c r="P23" i="5"/>
  <c r="E22" i="5"/>
  <c r="D22" i="5"/>
  <c r="C22" i="5"/>
  <c r="F22" i="5"/>
  <c r="H22" i="5"/>
  <c r="G22" i="5"/>
  <c r="E24" i="4"/>
  <c r="D22" i="1" l="1"/>
  <c r="E22" i="1"/>
  <c r="F22" i="1" s="1"/>
  <c r="D25" i="5"/>
  <c r="G25" i="5"/>
  <c r="H25" i="5"/>
  <c r="C25" i="5"/>
  <c r="E25" i="5"/>
  <c r="F25" i="5"/>
  <c r="O22" i="5"/>
  <c r="C25" i="4"/>
  <c r="D25" i="4" s="1"/>
  <c r="F22" i="4"/>
  <c r="C23" i="1" l="1"/>
  <c r="O25" i="5"/>
  <c r="E25" i="4"/>
  <c r="C26" i="4"/>
  <c r="D26" i="4" s="1"/>
  <c r="D23" i="1" l="1"/>
  <c r="E23" i="1"/>
  <c r="F23" i="1" s="1"/>
  <c r="Q25" i="5"/>
  <c r="E26" i="4"/>
  <c r="F23" i="4"/>
  <c r="C24" i="1" l="1"/>
  <c r="K25" i="5"/>
  <c r="I25" i="5"/>
  <c r="J25" i="5"/>
  <c r="D24" i="1" l="1"/>
  <c r="E24" i="1"/>
  <c r="F24" i="1"/>
  <c r="L25" i="5"/>
  <c r="N25" i="5"/>
  <c r="M25" i="5"/>
  <c r="F24" i="4"/>
  <c r="C25" i="1" l="1"/>
  <c r="P25" i="5"/>
  <c r="C27" i="4"/>
  <c r="D25" i="1" l="1"/>
  <c r="E25" i="1"/>
  <c r="F25" i="1" s="1"/>
  <c r="H26" i="5"/>
  <c r="F26" i="5"/>
  <c r="E26" i="5"/>
  <c r="C26" i="5"/>
  <c r="G26" i="5"/>
  <c r="D26" i="5"/>
  <c r="D27" i="4"/>
  <c r="E27" i="4"/>
  <c r="C28" i="4"/>
  <c r="D28" i="4" s="1"/>
  <c r="F25" i="4"/>
  <c r="C26" i="1" l="1"/>
  <c r="D26" i="1" s="1"/>
  <c r="E26" i="1" s="1"/>
  <c r="F26" i="1"/>
  <c r="C27" i="1"/>
  <c r="O26" i="5"/>
  <c r="E28" i="4"/>
  <c r="F26" i="4"/>
  <c r="D27" i="1" l="1"/>
  <c r="Q26" i="5"/>
  <c r="E27" i="1" l="1"/>
  <c r="F27" i="1" s="1"/>
  <c r="K26" i="5"/>
  <c r="I26" i="5"/>
  <c r="J26" i="5"/>
  <c r="C29" i="4"/>
  <c r="F27" i="4"/>
  <c r="C28" i="1" l="1"/>
  <c r="M26" i="5"/>
  <c r="L26" i="5"/>
  <c r="N26" i="5"/>
  <c r="D29" i="4"/>
  <c r="E29" i="4"/>
  <c r="C30" i="4"/>
  <c r="D30" i="4" s="1"/>
  <c r="D28" i="1" l="1"/>
  <c r="E28" i="1"/>
  <c r="F28" i="1"/>
  <c r="P26" i="5"/>
  <c r="E30" i="4"/>
  <c r="C31" i="4"/>
  <c r="D31" i="4" s="1"/>
  <c r="F28" i="4"/>
  <c r="C29" i="1" l="1"/>
  <c r="C27" i="5"/>
  <c r="D27" i="5"/>
  <c r="F27" i="5"/>
  <c r="G27" i="5"/>
  <c r="E27" i="5"/>
  <c r="H27" i="5"/>
  <c r="E31" i="4"/>
  <c r="D29" i="1" l="1"/>
  <c r="E29" i="1" s="1"/>
  <c r="F29" i="1" s="1"/>
  <c r="O27" i="5"/>
  <c r="F29" i="4"/>
  <c r="Q27" i="5" l="1"/>
  <c r="K27" i="5" l="1"/>
  <c r="J27" i="5"/>
  <c r="I27" i="5"/>
  <c r="F30" i="4"/>
  <c r="L27" i="5" l="1"/>
  <c r="M27" i="5"/>
  <c r="N27" i="5"/>
  <c r="P27" i="5" l="1"/>
  <c r="F31" i="4"/>
  <c r="E28" i="5" l="1"/>
  <c r="H28" i="5"/>
  <c r="G28" i="5"/>
  <c r="F28" i="5"/>
  <c r="D28" i="5"/>
  <c r="C28" i="5"/>
  <c r="O28" i="5" l="1"/>
  <c r="Q28" i="5" l="1"/>
  <c r="I28" i="5" l="1"/>
  <c r="J28" i="5"/>
  <c r="K28" i="5"/>
  <c r="N28" i="5" l="1"/>
  <c r="L28" i="5"/>
  <c r="M28" i="5"/>
  <c r="P28" i="5" l="1"/>
  <c r="C29" i="5" l="1"/>
  <c r="D29" i="5"/>
  <c r="E29" i="5"/>
  <c r="F29" i="5"/>
  <c r="G29" i="5"/>
  <c r="H29" i="5"/>
  <c r="O29" i="5" l="1"/>
  <c r="Q29" i="5" l="1"/>
  <c r="K29" i="5" l="1"/>
  <c r="J29" i="5"/>
  <c r="I29" i="5"/>
  <c r="L29" i="5" l="1"/>
  <c r="N29" i="5"/>
  <c r="M29" i="5"/>
  <c r="P29" i="5" l="1"/>
  <c r="H30" i="5" l="1"/>
  <c r="F30" i="5"/>
  <c r="E30" i="5"/>
  <c r="D30" i="5"/>
  <c r="C30" i="5"/>
  <c r="G30" i="5"/>
  <c r="O30" i="5" l="1"/>
  <c r="Q30" i="5" l="1"/>
  <c r="J30" i="5" l="1"/>
  <c r="I30" i="5"/>
  <c r="K30" i="5"/>
  <c r="L30" i="5" l="1"/>
  <c r="M30" i="5"/>
  <c r="N30" i="5"/>
  <c r="P30" i="5" l="1"/>
  <c r="C31" i="5" l="1"/>
  <c r="G31" i="5"/>
  <c r="D31" i="5"/>
  <c r="E31" i="5"/>
  <c r="F31" i="5"/>
  <c r="H31" i="5"/>
  <c r="O31" i="5" l="1"/>
  <c r="Q31" i="5" l="1"/>
  <c r="K31" i="5" l="1"/>
  <c r="I31" i="5"/>
  <c r="J31" i="5"/>
  <c r="L31" i="5" l="1"/>
  <c r="M31" i="5"/>
  <c r="N31" i="5"/>
  <c r="P31" i="5" l="1"/>
  <c r="D32" i="5" l="1"/>
  <c r="H32" i="5"/>
  <c r="F32" i="5"/>
  <c r="C32" i="5"/>
  <c r="E32" i="5"/>
  <c r="G32" i="5"/>
  <c r="O32" i="5" l="1"/>
  <c r="Q32" i="5" l="1"/>
  <c r="J32" i="5" l="1"/>
  <c r="K32" i="5"/>
  <c r="I32" i="5"/>
  <c r="N32" i="5" l="1"/>
  <c r="L32" i="5"/>
  <c r="M32" i="5"/>
  <c r="P32" i="5" l="1"/>
</calcChain>
</file>

<file path=xl/sharedStrings.xml><?xml version="1.0" encoding="utf-8"?>
<sst xmlns="http://schemas.openxmlformats.org/spreadsheetml/2006/main" count="65" uniqueCount="35">
  <si>
    <t>Métodos Numéricos I</t>
  </si>
  <si>
    <t>Ecuacion Planteada</t>
  </si>
  <si>
    <t>X</t>
  </si>
  <si>
    <t>Y</t>
  </si>
  <si>
    <t>A</t>
  </si>
  <si>
    <t>x</t>
  </si>
  <si>
    <t>y</t>
  </si>
  <si>
    <t>z</t>
  </si>
  <si>
    <t>b</t>
  </si>
  <si>
    <t>Ecuación en su forma matricial</t>
  </si>
  <si>
    <t>MÉTODO DE GAUSS SEIDEL</t>
  </si>
  <si>
    <r>
      <t xml:space="preserve">Para la resolución del sistema de ecuacion lineal por el método de Gauss-Seidel, se plantea un un vector inicial de la forma </t>
    </r>
    <r>
      <rPr>
        <i/>
        <sz val="14"/>
        <color theme="1"/>
        <rFont val="Aptos"/>
        <family val="2"/>
      </rPr>
      <t>(0,0,0)</t>
    </r>
  </si>
  <si>
    <t>Z</t>
  </si>
  <si>
    <t>Error</t>
  </si>
  <si>
    <t>Iteración</t>
  </si>
  <si>
    <t>Los valores obtenidos aplicando el método de Gauss Seidel Son:</t>
  </si>
  <si>
    <t>Con un error de:</t>
  </si>
  <si>
    <r>
      <t xml:space="preserve">Para la resolución del sistema de ecuacion lineal por el método SOR, se plantea un un vector inicial de la forma </t>
    </r>
    <r>
      <rPr>
        <i/>
        <sz val="14"/>
        <color theme="1"/>
        <rFont val="Aptos"/>
        <family val="2"/>
      </rPr>
      <t>(0,0,0)</t>
    </r>
  </si>
  <si>
    <t>Tomando como valor para Omega</t>
  </si>
  <si>
    <t>w</t>
  </si>
  <si>
    <t>MÉTODO SOR</t>
  </si>
  <si>
    <t>r1</t>
  </si>
  <si>
    <t>r2</t>
  </si>
  <si>
    <t>r3</t>
  </si>
  <si>
    <t>Alpha</t>
  </si>
  <si>
    <t>p1</t>
  </si>
  <si>
    <t>p2</t>
  </si>
  <si>
    <t>p3</t>
  </si>
  <si>
    <t>Ap1</t>
  </si>
  <si>
    <t>Ap2</t>
  </si>
  <si>
    <t>Ap3</t>
  </si>
  <si>
    <t>rTr</t>
  </si>
  <si>
    <t>Beta</t>
  </si>
  <si>
    <t>MÉTODO GRADIENTE CONJUGADO</t>
  </si>
  <si>
    <r>
      <t xml:space="preserve">Para la resolución del sistema de ecuacion lineal por el método Gradiente Conjugado, se plantea un un vector inicial de la forma </t>
    </r>
    <r>
      <rPr>
        <i/>
        <sz val="14"/>
        <color theme="1"/>
        <rFont val="Aptos"/>
        <family val="2"/>
      </rPr>
      <t>(0,0,0)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</si>
</sst>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"/>
    <numFmt numFmtId="171" formatCode="0.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16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Aptos"/>
      <family val="2"/>
    </font>
    <font>
      <sz val="14"/>
      <color theme="1"/>
      <name val="Aptos"/>
      <family val="2"/>
    </font>
    <font>
      <i/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9" xfId="0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6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7" fontId="0" fillId="2" borderId="0" xfId="0" applyNumberFormat="1" applyFill="1" applyAlignment="1">
      <alignment horizontal="center"/>
    </xf>
    <xf numFmtId="171" fontId="0" fillId="0" borderId="0" xfId="0" applyNumberForma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71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7" fontId="0" fillId="0" borderId="0" xfId="0" applyNumberFormat="1" applyFill="1" applyAlignment="1">
      <alignment horizontal="center"/>
    </xf>
    <xf numFmtId="171" fontId="0" fillId="0" borderId="0" xfId="0" applyNumberFormat="1" applyFill="1" applyAlignment="1">
      <alignment horizontal="center"/>
    </xf>
    <xf numFmtId="0" fontId="3" fillId="0" borderId="0" xfId="0" applyFont="1" applyBorder="1" applyAlignment="1"/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</cellXfs>
  <cellStyles count="1">
    <cellStyle name="Normal" xfId="0" builtinId="0"/>
  </cellStyles>
  <dxfs count="3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3</xdr:row>
      <xdr:rowOff>257175</xdr:rowOff>
    </xdr:from>
    <xdr:to>
      <xdr:col>8</xdr:col>
      <xdr:colOff>114300</xdr:colOff>
      <xdr:row>9</xdr:row>
      <xdr:rowOff>66675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1B666F09-F482-439C-A570-F6DE89A8C141}"/>
            </a:ext>
          </a:extLst>
        </xdr:cNvPr>
        <xdr:cNvSpPr/>
      </xdr:nvSpPr>
      <xdr:spPr>
        <a:xfrm>
          <a:off x="5781675" y="981075"/>
          <a:ext cx="428625" cy="10858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323850</xdr:colOff>
      <xdr:row>4</xdr:row>
      <xdr:rowOff>19050</xdr:rowOff>
    </xdr:from>
    <xdr:to>
      <xdr:col>12</xdr:col>
      <xdr:colOff>752475</xdr:colOff>
      <xdr:row>9</xdr:row>
      <xdr:rowOff>95250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E360FF04-B88F-4D7B-93CA-D22D667B4FDE}"/>
            </a:ext>
          </a:extLst>
        </xdr:cNvPr>
        <xdr:cNvSpPr/>
      </xdr:nvSpPr>
      <xdr:spPr>
        <a:xfrm>
          <a:off x="9467850" y="1009650"/>
          <a:ext cx="428625" cy="10858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oneCellAnchor>
    <xdr:from>
      <xdr:col>2</xdr:col>
      <xdr:colOff>142875</xdr:colOff>
      <xdr:row>32</xdr:row>
      <xdr:rowOff>157162</xdr:rowOff>
    </xdr:from>
    <xdr:ext cx="1343025" cy="357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CF90832-DE22-46B6-A5EA-16EE12C48339}"/>
                </a:ext>
              </a:extLst>
            </xdr:cNvPr>
            <xdr:cNvSpPr txBox="1"/>
          </xdr:nvSpPr>
          <xdr:spPr>
            <a:xfrm>
              <a:off x="1666875" y="6929437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=1,0000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CF90832-DE22-46B6-A5EA-16EE12C48339}"/>
                </a:ext>
              </a:extLst>
            </xdr:cNvPr>
            <xdr:cNvSpPr txBox="1"/>
          </xdr:nvSpPr>
          <xdr:spPr>
            <a:xfrm>
              <a:off x="1666875" y="6929437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𝑋=1,0000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4</xdr:col>
      <xdr:colOff>685800</xdr:colOff>
      <xdr:row>32</xdr:row>
      <xdr:rowOff>176212</xdr:rowOff>
    </xdr:from>
    <xdr:ext cx="1183850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5EFDBA9-C469-4EA2-A67D-56DCAC69BFE1}"/>
                </a:ext>
              </a:extLst>
            </xdr:cNvPr>
            <xdr:cNvSpPr txBox="1"/>
          </xdr:nvSpPr>
          <xdr:spPr>
            <a:xfrm>
              <a:off x="3733800" y="6948487"/>
              <a:ext cx="1183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=1,0000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5EFDBA9-C469-4EA2-A67D-56DCAC69BFE1}"/>
                </a:ext>
              </a:extLst>
            </xdr:cNvPr>
            <xdr:cNvSpPr txBox="1"/>
          </xdr:nvSpPr>
          <xdr:spPr>
            <a:xfrm>
              <a:off x="3733800" y="6948487"/>
              <a:ext cx="1183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𝑌=1,0000</a:t>
              </a:r>
              <a:endParaRPr lang="es-BO" sz="1800"/>
            </a:p>
          </xdr:txBody>
        </xdr:sp>
      </mc:Fallback>
    </mc:AlternateContent>
    <xdr:clientData/>
  </xdr:oneCellAnchor>
  <xdr:oneCellAnchor>
    <xdr:from>
      <xdr:col>7</xdr:col>
      <xdr:colOff>581025</xdr:colOff>
      <xdr:row>32</xdr:row>
      <xdr:rowOff>157162</xdr:rowOff>
    </xdr:from>
    <xdr:ext cx="1181477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4D336D5-CC35-4DF2-B739-DAEF75A2F205}"/>
                </a:ext>
              </a:extLst>
            </xdr:cNvPr>
            <xdr:cNvSpPr txBox="1"/>
          </xdr:nvSpPr>
          <xdr:spPr>
            <a:xfrm>
              <a:off x="5915025" y="6929437"/>
              <a:ext cx="1181477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=1,0000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4D336D5-CC35-4DF2-B739-DAEF75A2F205}"/>
                </a:ext>
              </a:extLst>
            </xdr:cNvPr>
            <xdr:cNvSpPr txBox="1"/>
          </xdr:nvSpPr>
          <xdr:spPr>
            <a:xfrm>
              <a:off x="5915025" y="6929437"/>
              <a:ext cx="1181477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𝑍=1,0000</a:t>
              </a:r>
              <a:endParaRPr lang="es-BO" sz="1800"/>
            </a:p>
          </xdr:txBody>
        </xdr:sp>
      </mc:Fallback>
    </mc:AlternateContent>
    <xdr:clientData/>
  </xdr:oneCellAnchor>
  <xdr:oneCellAnchor>
    <xdr:from>
      <xdr:col>2</xdr:col>
      <xdr:colOff>85725</xdr:colOff>
      <xdr:row>35</xdr:row>
      <xdr:rowOff>204787</xdr:rowOff>
    </xdr:from>
    <xdr:ext cx="1703480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BB1FF6F-4E67-4B07-BDFF-5A9329F590D2}"/>
                </a:ext>
              </a:extLst>
            </xdr:cNvPr>
            <xdr:cNvSpPr txBox="1"/>
          </xdr:nvSpPr>
          <xdr:spPr>
            <a:xfrm>
              <a:off x="1609725" y="7548562"/>
              <a:ext cx="170348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=0,00000046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BB1FF6F-4E67-4B07-BDFF-5A9329F590D2}"/>
                </a:ext>
              </a:extLst>
            </xdr:cNvPr>
            <xdr:cNvSpPr txBox="1"/>
          </xdr:nvSpPr>
          <xdr:spPr>
            <a:xfrm>
              <a:off x="1609725" y="7548562"/>
              <a:ext cx="170348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𝐸=0,00000046</a:t>
              </a:r>
              <a:endParaRPr lang="es-BO" sz="1800"/>
            </a:p>
          </xdr:txBody>
        </xdr:sp>
      </mc:Fallback>
    </mc:AlternateContent>
    <xdr:clientData/>
  </xdr:oneCellAnchor>
  <xdr:twoCellAnchor editAs="oneCell">
    <xdr:from>
      <xdr:col>2</xdr:col>
      <xdr:colOff>438150</xdr:colOff>
      <xdr:row>3</xdr:row>
      <xdr:rowOff>228600</xdr:rowOff>
    </xdr:from>
    <xdr:to>
      <xdr:col>5</xdr:col>
      <xdr:colOff>667101</xdr:colOff>
      <xdr:row>9</xdr:row>
      <xdr:rowOff>123989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FCE1C8E-DC37-417B-A463-CA63BB06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019175"/>
          <a:ext cx="2514951" cy="1171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3</xdr:row>
      <xdr:rowOff>257175</xdr:rowOff>
    </xdr:from>
    <xdr:to>
      <xdr:col>8</xdr:col>
      <xdr:colOff>114300</xdr:colOff>
      <xdr:row>9</xdr:row>
      <xdr:rowOff>66675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4EE6048D-0A5C-4B57-9602-CF8139667BBA}"/>
            </a:ext>
          </a:extLst>
        </xdr:cNvPr>
        <xdr:cNvSpPr/>
      </xdr:nvSpPr>
      <xdr:spPr>
        <a:xfrm>
          <a:off x="5781675" y="1047750"/>
          <a:ext cx="428625" cy="10858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323850</xdr:colOff>
      <xdr:row>4</xdr:row>
      <xdr:rowOff>19050</xdr:rowOff>
    </xdr:from>
    <xdr:to>
      <xdr:col>12</xdr:col>
      <xdr:colOff>752475</xdr:colOff>
      <xdr:row>9</xdr:row>
      <xdr:rowOff>95250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196DDECB-5228-4A0A-81E7-B5E46C34AC21}"/>
            </a:ext>
          </a:extLst>
        </xdr:cNvPr>
        <xdr:cNvSpPr/>
      </xdr:nvSpPr>
      <xdr:spPr>
        <a:xfrm>
          <a:off x="9467850" y="1076325"/>
          <a:ext cx="428625" cy="10858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oneCellAnchor>
    <xdr:from>
      <xdr:col>2</xdr:col>
      <xdr:colOff>142875</xdr:colOff>
      <xdr:row>34</xdr:row>
      <xdr:rowOff>157162</xdr:rowOff>
    </xdr:from>
    <xdr:ext cx="1343025" cy="357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327E663-E81F-415B-A3A5-3CE18CB0E325}"/>
                </a:ext>
              </a:extLst>
            </xdr:cNvPr>
            <xdr:cNvSpPr txBox="1"/>
          </xdr:nvSpPr>
          <xdr:spPr>
            <a:xfrm>
              <a:off x="1666875" y="6929437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=1,0000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327E663-E81F-415B-A3A5-3CE18CB0E325}"/>
                </a:ext>
              </a:extLst>
            </xdr:cNvPr>
            <xdr:cNvSpPr txBox="1"/>
          </xdr:nvSpPr>
          <xdr:spPr>
            <a:xfrm>
              <a:off x="1666875" y="6929437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𝑋=1,0000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4</xdr:col>
      <xdr:colOff>685800</xdr:colOff>
      <xdr:row>34</xdr:row>
      <xdr:rowOff>176212</xdr:rowOff>
    </xdr:from>
    <xdr:ext cx="1183850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CCCEE06-DDCF-4BB1-B181-3FCE4508DF5D}"/>
                </a:ext>
              </a:extLst>
            </xdr:cNvPr>
            <xdr:cNvSpPr txBox="1"/>
          </xdr:nvSpPr>
          <xdr:spPr>
            <a:xfrm>
              <a:off x="3733800" y="7472362"/>
              <a:ext cx="1183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=1,0000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CCCEE06-DDCF-4BB1-B181-3FCE4508DF5D}"/>
                </a:ext>
              </a:extLst>
            </xdr:cNvPr>
            <xdr:cNvSpPr txBox="1"/>
          </xdr:nvSpPr>
          <xdr:spPr>
            <a:xfrm>
              <a:off x="3733800" y="7472362"/>
              <a:ext cx="118385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𝑌=1,0000</a:t>
              </a:r>
              <a:endParaRPr lang="es-BO" sz="1800"/>
            </a:p>
          </xdr:txBody>
        </xdr:sp>
      </mc:Fallback>
    </mc:AlternateContent>
    <xdr:clientData/>
  </xdr:oneCellAnchor>
  <xdr:oneCellAnchor>
    <xdr:from>
      <xdr:col>7</xdr:col>
      <xdr:colOff>581025</xdr:colOff>
      <xdr:row>34</xdr:row>
      <xdr:rowOff>157162</xdr:rowOff>
    </xdr:from>
    <xdr:ext cx="1181477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1454BF0-B9AB-4E95-A70B-5FCF66416055}"/>
                </a:ext>
              </a:extLst>
            </xdr:cNvPr>
            <xdr:cNvSpPr txBox="1"/>
          </xdr:nvSpPr>
          <xdr:spPr>
            <a:xfrm>
              <a:off x="5915025" y="7453312"/>
              <a:ext cx="1181477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=1,0000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51454BF0-B9AB-4E95-A70B-5FCF66416055}"/>
                </a:ext>
              </a:extLst>
            </xdr:cNvPr>
            <xdr:cNvSpPr txBox="1"/>
          </xdr:nvSpPr>
          <xdr:spPr>
            <a:xfrm>
              <a:off x="5915025" y="7453312"/>
              <a:ext cx="1181477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𝑍=1,0000</a:t>
              </a:r>
              <a:endParaRPr lang="es-BO" sz="1800"/>
            </a:p>
          </xdr:txBody>
        </xdr:sp>
      </mc:Fallback>
    </mc:AlternateContent>
    <xdr:clientData/>
  </xdr:oneCellAnchor>
  <xdr:oneCellAnchor>
    <xdr:from>
      <xdr:col>2</xdr:col>
      <xdr:colOff>85725</xdr:colOff>
      <xdr:row>37</xdr:row>
      <xdr:rowOff>204787</xdr:rowOff>
    </xdr:from>
    <xdr:ext cx="1703480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76D06E4-D4D3-473F-97F8-34D58E547787}"/>
                </a:ext>
              </a:extLst>
            </xdr:cNvPr>
            <xdr:cNvSpPr txBox="1"/>
          </xdr:nvSpPr>
          <xdr:spPr>
            <a:xfrm>
              <a:off x="1609725" y="8072437"/>
              <a:ext cx="170348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=0,00000010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76D06E4-D4D3-473F-97F8-34D58E547787}"/>
                </a:ext>
              </a:extLst>
            </xdr:cNvPr>
            <xdr:cNvSpPr txBox="1"/>
          </xdr:nvSpPr>
          <xdr:spPr>
            <a:xfrm>
              <a:off x="1609725" y="8072437"/>
              <a:ext cx="170348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𝐸=0,00000010</a:t>
              </a:r>
              <a:endParaRPr lang="es-BO" sz="1800"/>
            </a:p>
          </xdr:txBody>
        </xdr:sp>
      </mc:Fallback>
    </mc:AlternateContent>
    <xdr:clientData/>
  </xdr:oneCellAnchor>
  <xdr:oneCellAnchor>
    <xdr:from>
      <xdr:col>4</xdr:col>
      <xdr:colOff>19050</xdr:colOff>
      <xdr:row>14</xdr:row>
      <xdr:rowOff>223837</xdr:rowOff>
    </xdr:from>
    <xdr:ext cx="828304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D9B5DFB1-1C88-42AD-921C-2EA6F1DD2BBB}"/>
                </a:ext>
              </a:extLst>
            </xdr:cNvPr>
            <xdr:cNvSpPr txBox="1"/>
          </xdr:nvSpPr>
          <xdr:spPr>
            <a:xfrm>
              <a:off x="3067050" y="3519487"/>
              <a:ext cx="828304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BO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𝜔</m:t>
                    </m:r>
                    <m:r>
                      <a:rPr lang="es-MX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=1,1</m:t>
                    </m:r>
                  </m:oMath>
                </m:oMathPara>
              </a14:m>
              <a:endParaRPr lang="es-BO" sz="11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D9B5DFB1-1C88-42AD-921C-2EA6F1DD2BBB}"/>
                </a:ext>
              </a:extLst>
            </xdr:cNvPr>
            <xdr:cNvSpPr txBox="1"/>
          </xdr:nvSpPr>
          <xdr:spPr>
            <a:xfrm>
              <a:off x="3067050" y="3519487"/>
              <a:ext cx="828304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BO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</a:t>
              </a:r>
              <a:r>
                <a:rPr lang="es-MX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=1,1</a:t>
              </a:r>
              <a:endParaRPr lang="es-BO" sz="1100"/>
            </a:p>
          </xdr:txBody>
        </xdr:sp>
      </mc:Fallback>
    </mc:AlternateContent>
    <xdr:clientData/>
  </xdr:oneCellAnchor>
  <xdr:twoCellAnchor editAs="oneCell">
    <xdr:from>
      <xdr:col>2</xdr:col>
      <xdr:colOff>438150</xdr:colOff>
      <xdr:row>3</xdr:row>
      <xdr:rowOff>257175</xdr:rowOff>
    </xdr:from>
    <xdr:to>
      <xdr:col>5</xdr:col>
      <xdr:colOff>667101</xdr:colOff>
      <xdr:row>9</xdr:row>
      <xdr:rowOff>152564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B594265-A835-4F6F-A7C5-38CF6B5F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047750"/>
          <a:ext cx="2514951" cy="11717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3</xdr:row>
      <xdr:rowOff>257175</xdr:rowOff>
    </xdr:from>
    <xdr:to>
      <xdr:col>8</xdr:col>
      <xdr:colOff>114300</xdr:colOff>
      <xdr:row>9</xdr:row>
      <xdr:rowOff>66675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E80D7108-F803-4082-80D7-ADEB080EF5AB}"/>
            </a:ext>
          </a:extLst>
        </xdr:cNvPr>
        <xdr:cNvSpPr/>
      </xdr:nvSpPr>
      <xdr:spPr>
        <a:xfrm>
          <a:off x="5781675" y="1047750"/>
          <a:ext cx="428625" cy="10858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323850</xdr:colOff>
      <xdr:row>4</xdr:row>
      <xdr:rowOff>19050</xdr:rowOff>
    </xdr:from>
    <xdr:to>
      <xdr:col>12</xdr:col>
      <xdr:colOff>752475</xdr:colOff>
      <xdr:row>9</xdr:row>
      <xdr:rowOff>95250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C5C3854B-EDFA-407B-9CD2-644EE8CCEED6}"/>
            </a:ext>
          </a:extLst>
        </xdr:cNvPr>
        <xdr:cNvSpPr/>
      </xdr:nvSpPr>
      <xdr:spPr>
        <a:xfrm>
          <a:off x="9467850" y="1076325"/>
          <a:ext cx="428625" cy="10858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oneCellAnchor>
    <xdr:from>
      <xdr:col>3</xdr:col>
      <xdr:colOff>142875</xdr:colOff>
      <xdr:row>36</xdr:row>
      <xdr:rowOff>157162</xdr:rowOff>
    </xdr:from>
    <xdr:ext cx="1343025" cy="357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E00713E-FB51-445F-9C43-C658D1113A33}"/>
                </a:ext>
              </a:extLst>
            </xdr:cNvPr>
            <xdr:cNvSpPr txBox="1"/>
          </xdr:nvSpPr>
          <xdr:spPr>
            <a:xfrm>
              <a:off x="1666875" y="7453312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=1,27778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E00713E-FB51-445F-9C43-C658D1113A33}"/>
                </a:ext>
              </a:extLst>
            </xdr:cNvPr>
            <xdr:cNvSpPr txBox="1"/>
          </xdr:nvSpPr>
          <xdr:spPr>
            <a:xfrm>
              <a:off x="1666875" y="7453312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𝑋=1,27778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5</xdr:col>
      <xdr:colOff>685800</xdr:colOff>
      <xdr:row>36</xdr:row>
      <xdr:rowOff>176212</xdr:rowOff>
    </xdr:from>
    <xdr:ext cx="1311641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DE7E9B3-F7D6-45B7-9FF7-943100E9F5D8}"/>
                </a:ext>
              </a:extLst>
            </xdr:cNvPr>
            <xdr:cNvSpPr txBox="1"/>
          </xdr:nvSpPr>
          <xdr:spPr>
            <a:xfrm>
              <a:off x="4495800" y="7900987"/>
              <a:ext cx="1311641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=1,05556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DE7E9B3-F7D6-45B7-9FF7-943100E9F5D8}"/>
                </a:ext>
              </a:extLst>
            </xdr:cNvPr>
            <xdr:cNvSpPr txBox="1"/>
          </xdr:nvSpPr>
          <xdr:spPr>
            <a:xfrm>
              <a:off x="4495800" y="7900987"/>
              <a:ext cx="1311641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𝑌=1,05556</a:t>
              </a:r>
              <a:endParaRPr lang="es-BO" sz="1800"/>
            </a:p>
          </xdr:txBody>
        </xdr:sp>
      </mc:Fallback>
    </mc:AlternateContent>
    <xdr:clientData/>
  </xdr:oneCellAnchor>
  <xdr:oneCellAnchor>
    <xdr:from>
      <xdr:col>8</xdr:col>
      <xdr:colOff>581025</xdr:colOff>
      <xdr:row>36</xdr:row>
      <xdr:rowOff>157162</xdr:rowOff>
    </xdr:from>
    <xdr:ext cx="1181477" cy="28180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6769B37-8D64-449D-A4FD-1CBCA84B0517}"/>
                </a:ext>
              </a:extLst>
            </xdr:cNvPr>
            <xdr:cNvSpPr txBox="1"/>
          </xdr:nvSpPr>
          <xdr:spPr>
            <a:xfrm>
              <a:off x="6677025" y="7881937"/>
              <a:ext cx="1181477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=1,1667</m:t>
                    </m:r>
                  </m:oMath>
                </m:oMathPara>
              </a14:m>
              <a:endParaRPr lang="es-BO" sz="18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6769B37-8D64-449D-A4FD-1CBCA84B0517}"/>
                </a:ext>
              </a:extLst>
            </xdr:cNvPr>
            <xdr:cNvSpPr txBox="1"/>
          </xdr:nvSpPr>
          <xdr:spPr>
            <a:xfrm>
              <a:off x="6677025" y="7881937"/>
              <a:ext cx="1181477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b="0" i="0">
                  <a:latin typeface="Cambria Math" panose="02040503050406030204" pitchFamily="18" charset="0"/>
                </a:rPr>
                <a:t>𝑍=1,1667</a:t>
              </a:r>
              <a:endParaRPr lang="es-BO" sz="1800"/>
            </a:p>
          </xdr:txBody>
        </xdr:sp>
      </mc:Fallback>
    </mc:AlternateContent>
    <xdr:clientData/>
  </xdr:oneCellAnchor>
  <xdr:twoCellAnchor editAs="oneCell">
    <xdr:from>
      <xdr:col>2</xdr:col>
      <xdr:colOff>504825</xdr:colOff>
      <xdr:row>3</xdr:row>
      <xdr:rowOff>247650</xdr:rowOff>
    </xdr:from>
    <xdr:to>
      <xdr:col>5</xdr:col>
      <xdr:colOff>733776</xdr:colOff>
      <xdr:row>9</xdr:row>
      <xdr:rowOff>143039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CB419B0-ED8A-4662-BB8C-60EF4947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5" y="1038225"/>
          <a:ext cx="2514951" cy="11717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7083E-4AF7-47D2-A6B6-02A6740FCF4D}" name="Tabla1" displayName="Tabla1" ref="B17:F29" totalsRowShown="0" headerRowDxfId="17" dataDxfId="16">
  <autoFilter ref="B17:F29" xr:uid="{2207083E-4AF7-47D2-A6B6-02A6740FCF4D}"/>
  <tableColumns count="5">
    <tableColumn id="1" xr3:uid="{59267FAE-D70A-4F68-B943-AB6BA6B2D341}" name="Iteración" dataDxfId="15"/>
    <tableColumn id="2" xr3:uid="{850E9D58-AA41-4A2F-A6F3-A89F67A0B033}" name="X" dataDxfId="14"/>
    <tableColumn id="3" xr3:uid="{EA5C1F2E-F203-43FC-B7B4-BDA11B4F94A4}" name="Y" dataDxfId="13"/>
    <tableColumn id="4" xr3:uid="{3E467E1C-D87B-448D-9B68-6D90694263FE}" name="Z" dataDxfId="12"/>
    <tableColumn id="6" xr3:uid="{705F5CF8-A811-470D-BDF7-AEA11872DBA7}" name="Error" dataDxfId="18">
      <calculatedColumnFormula>MAX(ABS(C18-C17),ABS(D18-D17),ABS(E18-E17))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B1730-7706-44AD-9272-C9AB81DF0169}" name="Tabla13" displayName="Tabla13" ref="B19:F31" totalsRowShown="0" headerRowDxfId="31" dataDxfId="30">
  <autoFilter ref="B19:F31" xr:uid="{2207083E-4AF7-47D2-A6B6-02A6740FCF4D}"/>
  <tableColumns count="5">
    <tableColumn id="1" xr3:uid="{2E7AA3C8-5B74-48E8-A8A3-996CB43E5060}" name="Iteración" dataDxfId="29"/>
    <tableColumn id="2" xr3:uid="{39188161-3A7B-4474-AF81-F6874BE9951B}" name="X" dataDxfId="28"/>
    <tableColumn id="3" xr3:uid="{6B1B9D9E-3336-4CE2-B8E9-862F54A8135F}" name="Y" dataDxfId="27"/>
    <tableColumn id="4" xr3:uid="{F6F1CC23-89EB-4BC8-86D9-05E687442163}" name="Z" dataDxfId="26"/>
    <tableColumn id="6" xr3:uid="{84D94325-6E12-4E3B-9AD2-6A28A35AAD77}" name="Error" dataDxfId="25">
      <calculatedColumnFormula>MAX(ABS(C20-C19),ABS(D20-D19),ABS(E20-E19))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EEEE73-E2B2-49AF-9EE2-A5236BDE9696}" name="Tabla134" displayName="Tabla134" ref="B20:Q32" totalsRowShown="0" headerRowDxfId="24" dataDxfId="23">
  <autoFilter ref="B20:Q32" xr:uid="{2207083E-4AF7-47D2-A6B6-02A6740FCF4D}"/>
  <tableColumns count="16">
    <tableColumn id="1" xr3:uid="{99D4DAAF-2E9D-4310-B833-F7F9FBB67053}" name="Iteración" dataDxfId="22"/>
    <tableColumn id="2" xr3:uid="{370BB7EC-EEE4-4BEF-A5C6-0E3A985B75F4}" name="X" dataDxfId="21"/>
    <tableColumn id="3" xr3:uid="{A37CF500-2E50-41EA-A5AD-48F966EB272D}" name="Y" dataDxfId="20"/>
    <tableColumn id="4" xr3:uid="{7416C3AE-639E-4A76-9077-8F511D5ECA3C}" name="Z" dataDxfId="19"/>
    <tableColumn id="6" xr3:uid="{9FCC4EAA-8E6B-447A-BC09-7BF8063E67FF}" name="r1" dataDxfId="11">
      <calculatedColumnFormula>15-(10*Tabla134[[#This Row],[X]]+2*Tabla134[[#This Row],[Y]]+3*Tabla134[[#This Row],[Z]])</calculatedColumnFormula>
    </tableColumn>
    <tableColumn id="7" xr3:uid="{4D562936-7AC1-4F6E-9C8C-20EFC6B2AA6A}" name="r2" dataDxfId="10">
      <calculatedColumnFormula>13-(2*Tabla134[[#This Row],[X]]+10*Tabla134[[#This Row],[Y]]+Tabla134[[#This Row],[Z]])</calculatedColumnFormula>
    </tableColumn>
    <tableColumn id="8" xr3:uid="{4AC0550C-E64F-47D9-B781-9C99EEC58DF0}" name="r3" dataDxfId="9">
      <calculatedColumnFormula>14-(3*Tabla134[[#This Row],[X]]+Tabla134[[#This Row],[Y]]+10*Tabla134[[#This Row],[Z]])</calculatedColumnFormula>
    </tableColumn>
    <tableColumn id="9" xr3:uid="{4055EF1D-27CA-462D-A60A-6B852AF45453}" name="p1" dataDxfId="8">
      <calculatedColumnFormula>Tabla134[[#This Row],[r1]]</calculatedColumnFormula>
    </tableColumn>
    <tableColumn id="10" xr3:uid="{2546B08D-3020-4AF4-AEFD-CEDFA320CCE0}" name="p2" dataDxfId="7">
      <calculatedColumnFormula>Tabla134[[#This Row],[r2]]</calculatedColumnFormula>
    </tableColumn>
    <tableColumn id="11" xr3:uid="{69ACB0B3-2282-4313-8A66-AA5BF2D1435B}" name="p3" dataDxfId="6">
      <calculatedColumnFormula>Tabla134[[#This Row],[r3]]</calculatedColumnFormula>
    </tableColumn>
    <tableColumn id="12" xr3:uid="{9398072E-2B1C-4AF0-A3D0-62CBED7F0502}" name="Ap1" dataDxfId="5">
      <calculatedColumnFormula>10*Tabla134[[#This Row],[p1]]+Tabla134[[#This Row],[p2]]+Tabla134[[#This Row],[p3]]</calculatedColumnFormula>
    </tableColumn>
    <tableColumn id="13" xr3:uid="{5A198F27-D049-4976-98DF-803048EE94DD}" name="Ap2" dataDxfId="4">
      <calculatedColumnFormula>Tabla134[[#This Row],[p1]]+10*Tabla134[[#This Row],[p2]]+Tabla134[[#This Row],[p3]]</calculatedColumnFormula>
    </tableColumn>
    <tableColumn id="14" xr3:uid="{224FD516-EEB6-4614-98AD-C7DC066757C9}" name="Ap3" dataDxfId="3">
      <calculatedColumnFormula>Tabla134[[#This Row],[p1]]+Tabla134[[#This Row],[p2]]+10*Tabla134[[#This Row],[p3]]</calculatedColumnFormula>
    </tableColumn>
    <tableColumn id="15" xr3:uid="{D94D64A9-AC30-4B9F-9FDF-07D849B1014A}" name="rTr" dataDxfId="2">
      <calculatedColumnFormula>SUMPRODUCT(F21:H21,F21:H21)</calculatedColumnFormula>
    </tableColumn>
    <tableColumn id="16" xr3:uid="{7A81D2BC-E08F-4872-A617-42C6E6CD7171}" name="Alpha" dataDxfId="1">
      <calculatedColumnFormula>Tabla134[[#This Row],[rTr]]/(Tabla134[[#This Row],[p1]]*Tabla134[[#This Row],[Ap1]] + Tabla134[[#This Row],[p2]]*Tabla134[[#This Row],[Ap2]] + Tabla134[[#This Row],[p3]]*Tabla134[[#This Row],[Ap3]])</calculatedColumnFormula>
    </tableColumn>
    <tableColumn id="17" xr3:uid="{4F075344-212D-4DD1-BFCA-53E31DE8526F}" name="Beta" dataDxfId="0">
      <calculatedColumnFormula>Tabla134[[#This Row],[rTr]]/O20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1B05-8A38-4B43-88E9-75B104AFE2BC}">
  <sheetPr>
    <tabColor theme="9"/>
  </sheetPr>
  <dimension ref="A2:O36"/>
  <sheetViews>
    <sheetView workbookViewId="0">
      <selection activeCell="E20" sqref="E20"/>
    </sheetView>
  </sheetViews>
  <sheetFormatPr baseColWidth="10" defaultRowHeight="15" x14ac:dyDescent="0.25"/>
  <sheetData>
    <row r="2" spans="1:15" ht="31.5" x14ac:dyDescent="0.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5" ht="15.75" thickBot="1" x14ac:dyDescent="0.3"/>
    <row r="4" spans="1:15" ht="21" x14ac:dyDescent="0.35">
      <c r="A4" s="12" t="s">
        <v>1</v>
      </c>
      <c r="B4" s="13"/>
      <c r="C4" s="13"/>
      <c r="D4" s="13"/>
      <c r="E4" s="4"/>
      <c r="F4" s="5"/>
      <c r="H4" s="14" t="s">
        <v>9</v>
      </c>
      <c r="I4" s="15"/>
      <c r="J4" s="15"/>
      <c r="K4" s="15"/>
      <c r="L4" s="15"/>
      <c r="M4" s="15"/>
      <c r="N4" s="15"/>
      <c r="O4" s="5"/>
    </row>
    <row r="5" spans="1:15" ht="18.75" x14ac:dyDescent="0.3">
      <c r="A5" s="6"/>
      <c r="B5" s="7"/>
      <c r="C5" s="7"/>
      <c r="D5" s="7"/>
      <c r="E5" s="7"/>
      <c r="F5" s="8"/>
      <c r="H5" s="6"/>
      <c r="I5" s="30" t="s">
        <v>5</v>
      </c>
      <c r="J5" s="30" t="s">
        <v>6</v>
      </c>
      <c r="K5" s="30" t="s">
        <v>7</v>
      </c>
      <c r="L5" s="7"/>
      <c r="M5" s="7"/>
      <c r="N5" s="31" t="s">
        <v>5</v>
      </c>
      <c r="O5" s="8"/>
    </row>
    <row r="6" spans="1:15" x14ac:dyDescent="0.25">
      <c r="A6" s="6"/>
      <c r="B6" s="7"/>
      <c r="C6" s="7"/>
      <c r="D6" s="7"/>
      <c r="E6" s="7"/>
      <c r="F6" s="8"/>
      <c r="H6" s="6"/>
      <c r="I6" s="20">
        <v>10</v>
      </c>
      <c r="J6" s="20">
        <v>2</v>
      </c>
      <c r="K6" s="20">
        <v>3</v>
      </c>
      <c r="L6" s="7"/>
      <c r="M6" s="7"/>
      <c r="N6" s="20">
        <v>15</v>
      </c>
      <c r="O6" s="8"/>
    </row>
    <row r="7" spans="1:15" ht="15.75" x14ac:dyDescent="0.25">
      <c r="A7" s="6"/>
      <c r="B7" s="7"/>
      <c r="C7" s="7"/>
      <c r="D7" s="7"/>
      <c r="E7" s="7"/>
      <c r="F7" s="8"/>
      <c r="H7" s="19" t="s">
        <v>4</v>
      </c>
      <c r="I7" s="20">
        <v>2</v>
      </c>
      <c r="J7" s="20">
        <v>10</v>
      </c>
      <c r="K7" s="20">
        <v>1</v>
      </c>
      <c r="L7" s="7"/>
      <c r="M7" s="17" t="s">
        <v>8</v>
      </c>
      <c r="N7" s="20">
        <v>13</v>
      </c>
      <c r="O7" s="8"/>
    </row>
    <row r="8" spans="1:15" x14ac:dyDescent="0.25">
      <c r="A8" s="6"/>
      <c r="B8" s="7"/>
      <c r="C8" s="7"/>
      <c r="D8" s="7"/>
      <c r="E8" s="7"/>
      <c r="F8" s="8"/>
      <c r="H8" s="6"/>
      <c r="I8" s="20">
        <v>3</v>
      </c>
      <c r="J8" s="20">
        <v>1</v>
      </c>
      <c r="K8" s="20">
        <v>10</v>
      </c>
      <c r="L8" s="7"/>
      <c r="M8" s="7"/>
      <c r="N8" s="20">
        <v>14</v>
      </c>
      <c r="O8" s="8"/>
    </row>
    <row r="9" spans="1:15" x14ac:dyDescent="0.25">
      <c r="A9" s="6"/>
      <c r="B9" s="7"/>
      <c r="C9" s="7"/>
      <c r="D9" s="7"/>
      <c r="E9" s="7"/>
      <c r="F9" s="8"/>
      <c r="H9" s="6"/>
      <c r="I9" s="7"/>
      <c r="J9" s="7"/>
      <c r="K9" s="7"/>
      <c r="L9" s="7"/>
      <c r="M9" s="7"/>
      <c r="N9" s="20"/>
      <c r="O9" s="8"/>
    </row>
    <row r="10" spans="1:15" ht="15.75" thickBot="1" x14ac:dyDescent="0.3">
      <c r="A10" s="9"/>
      <c r="B10" s="10"/>
      <c r="C10" s="10"/>
      <c r="D10" s="10"/>
      <c r="E10" s="10"/>
      <c r="F10" s="11"/>
      <c r="H10" s="9"/>
      <c r="I10" s="10"/>
      <c r="J10" s="10"/>
      <c r="K10" s="10"/>
      <c r="L10" s="10"/>
      <c r="M10" s="10"/>
      <c r="N10" s="10"/>
      <c r="O10" s="11"/>
    </row>
    <row r="13" spans="1:15" ht="36" x14ac:dyDescent="0.55000000000000004">
      <c r="A13" s="21" t="s">
        <v>10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5" spans="1:15" ht="18.75" x14ac:dyDescent="0.3">
      <c r="A15" s="23" t="s">
        <v>11</v>
      </c>
    </row>
    <row r="17" spans="1:14" x14ac:dyDescent="0.25">
      <c r="B17" s="1" t="s">
        <v>14</v>
      </c>
      <c r="C17" s="1" t="s">
        <v>2</v>
      </c>
      <c r="D17" s="1" t="s">
        <v>3</v>
      </c>
      <c r="E17" s="1" t="s">
        <v>12</v>
      </c>
      <c r="F17" s="1" t="s">
        <v>13</v>
      </c>
    </row>
    <row r="18" spans="1:14" x14ac:dyDescent="0.25">
      <c r="B18" s="1">
        <v>1</v>
      </c>
      <c r="C18" s="1">
        <v>0</v>
      </c>
      <c r="D18" s="1">
        <v>0</v>
      </c>
      <c r="E18" s="1">
        <v>0</v>
      </c>
      <c r="F18" s="1"/>
    </row>
    <row r="19" spans="1:14" x14ac:dyDescent="0.25">
      <c r="B19" s="1">
        <v>2</v>
      </c>
      <c r="C19" s="24">
        <f>1/10*(15-2*D18-3*E18)</f>
        <v>1.5</v>
      </c>
      <c r="D19" s="24">
        <f>1/10*(13-2*C19-E18)</f>
        <v>1</v>
      </c>
      <c r="E19" s="24">
        <f>1/10*(14-3*C19-D19)</f>
        <v>0.85000000000000009</v>
      </c>
      <c r="F19" s="27">
        <f t="shared" ref="F19:F29" si="0">MAX(ABS(C19-C18),ABS(D19-D18),ABS(E19-E18))</f>
        <v>1.5</v>
      </c>
    </row>
    <row r="20" spans="1:14" x14ac:dyDescent="0.25">
      <c r="B20" s="1">
        <v>3</v>
      </c>
      <c r="C20" s="24">
        <f t="shared" ref="C20:C29" si="1">1/10*(15-2*D19-3*E19)</f>
        <v>1.0449999999999999</v>
      </c>
      <c r="D20" s="24">
        <f t="shared" ref="D20:D29" si="2">1/10*(13-2*C20-E19)</f>
        <v>1.006</v>
      </c>
      <c r="E20" s="24">
        <f t="shared" ref="E20:E29" si="3">1/10*(14-3*C20-D20)</f>
        <v>0.9859</v>
      </c>
      <c r="F20" s="27">
        <f t="shared" si="0"/>
        <v>0.45500000000000007</v>
      </c>
    </row>
    <row r="21" spans="1:14" x14ac:dyDescent="0.25">
      <c r="B21" s="1">
        <v>4</v>
      </c>
      <c r="C21" s="24">
        <f t="shared" si="1"/>
        <v>1.0030300000000001</v>
      </c>
      <c r="D21" s="24">
        <f t="shared" si="2"/>
        <v>1.0008040000000002</v>
      </c>
      <c r="E21" s="24">
        <f t="shared" si="3"/>
        <v>0.99901059999999997</v>
      </c>
      <c r="F21" s="27">
        <f t="shared" si="0"/>
        <v>4.1969999999999841E-2</v>
      </c>
    </row>
    <row r="22" spans="1:14" x14ac:dyDescent="0.25">
      <c r="B22" s="1">
        <v>5</v>
      </c>
      <c r="C22" s="24">
        <f t="shared" si="1"/>
        <v>1.00013602</v>
      </c>
      <c r="D22" s="24">
        <f t="shared" si="2"/>
        <v>1.000071736</v>
      </c>
      <c r="E22" s="24">
        <f t="shared" si="3"/>
        <v>0.99995202039999997</v>
      </c>
      <c r="F22" s="27">
        <f t="shared" si="0"/>
        <v>2.8939800000000737E-3</v>
      </c>
    </row>
    <row r="23" spans="1:14" x14ac:dyDescent="0.25">
      <c r="B23" s="1">
        <v>6</v>
      </c>
      <c r="C23" s="24">
        <f t="shared" si="1"/>
        <v>1.0000000466800001</v>
      </c>
      <c r="D23" s="24">
        <f t="shared" si="2"/>
        <v>1.000004788624</v>
      </c>
      <c r="E23" s="24">
        <f t="shared" si="3"/>
        <v>0.99999950713359986</v>
      </c>
      <c r="F23" s="27">
        <f t="shared" si="0"/>
        <v>1.359733199999269E-4</v>
      </c>
    </row>
    <row r="24" spans="1:14" x14ac:dyDescent="0.25">
      <c r="B24" s="25">
        <v>7</v>
      </c>
      <c r="C24" s="26">
        <f t="shared" si="1"/>
        <v>0.99999919013511995</v>
      </c>
      <c r="D24" s="26">
        <f t="shared" si="2"/>
        <v>1.000000211259616</v>
      </c>
      <c r="E24" s="26">
        <f t="shared" si="3"/>
        <v>1.0000002218335025</v>
      </c>
      <c r="F24" s="34">
        <f t="shared" si="0"/>
        <v>4.5773643839730482E-6</v>
      </c>
    </row>
    <row r="25" spans="1:14" x14ac:dyDescent="0.25">
      <c r="B25" s="35">
        <v>8</v>
      </c>
      <c r="C25" s="24">
        <f t="shared" si="1"/>
        <v>0.99999989119802601</v>
      </c>
      <c r="D25" s="24">
        <f t="shared" si="2"/>
        <v>0.99999999957704455</v>
      </c>
      <c r="E25" s="24">
        <f t="shared" si="3"/>
        <v>1.0000000326828877</v>
      </c>
      <c r="F25" s="37">
        <f t="shared" si="0"/>
        <v>7.0106290606108956E-7</v>
      </c>
    </row>
    <row r="26" spans="1:14" x14ac:dyDescent="0.25">
      <c r="B26" s="35">
        <v>9</v>
      </c>
      <c r="C26" s="24">
        <f t="shared" si="1"/>
        <v>0.99999999027972497</v>
      </c>
      <c r="D26" s="24">
        <f t="shared" si="2"/>
        <v>0.99999999867576639</v>
      </c>
      <c r="E26" s="24">
        <f t="shared" si="3"/>
        <v>1.0000000030485059</v>
      </c>
      <c r="F26" s="37">
        <f t="shared" si="0"/>
        <v>9.908169895656016E-8</v>
      </c>
    </row>
    <row r="27" spans="1:14" x14ac:dyDescent="0.25">
      <c r="B27" s="1">
        <v>10</v>
      </c>
      <c r="C27" s="24">
        <f t="shared" si="1"/>
        <v>0.99999999935029482</v>
      </c>
      <c r="D27" s="24">
        <f t="shared" si="2"/>
        <v>0.99999999982509058</v>
      </c>
      <c r="E27" s="24">
        <f t="shared" si="3"/>
        <v>1.0000000002124023</v>
      </c>
      <c r="F27" s="27">
        <f t="shared" si="0"/>
        <v>9.0705698507775878E-9</v>
      </c>
    </row>
    <row r="28" spans="1:14" x14ac:dyDescent="0.25">
      <c r="B28" s="1">
        <v>11</v>
      </c>
      <c r="C28" s="24">
        <f t="shared" si="1"/>
        <v>0.9999999999712611</v>
      </c>
      <c r="D28" s="24">
        <f t="shared" si="2"/>
        <v>0.9999999999845075</v>
      </c>
      <c r="E28" s="24">
        <f t="shared" si="3"/>
        <v>1.0000000000101712</v>
      </c>
      <c r="F28" s="27">
        <f t="shared" si="0"/>
        <v>6.2096627839736129E-10</v>
      </c>
    </row>
    <row r="29" spans="1:14" x14ac:dyDescent="0.25">
      <c r="B29" s="1">
        <v>12</v>
      </c>
      <c r="C29" s="24">
        <f t="shared" si="1"/>
        <v>1.0000000000000473</v>
      </c>
      <c r="D29" s="24">
        <f t="shared" si="2"/>
        <v>0.99999999999897349</v>
      </c>
      <c r="E29" s="24">
        <f t="shared" si="3"/>
        <v>1.0000000000000886</v>
      </c>
      <c r="F29" s="27">
        <f t="shared" si="0"/>
        <v>2.8786195649388446E-11</v>
      </c>
    </row>
    <row r="31" spans="1:14" x14ac:dyDescent="0.25">
      <c r="A31" s="28" t="s">
        <v>15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4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6" spans="1:14" ht="18.75" x14ac:dyDescent="0.3">
      <c r="A36" s="28" t="s">
        <v>16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</sheetData>
  <mergeCells count="6">
    <mergeCell ref="A31:N32"/>
    <mergeCell ref="A36:N36"/>
    <mergeCell ref="A2:N2"/>
    <mergeCell ref="A4:D4"/>
    <mergeCell ref="H4:N4"/>
    <mergeCell ref="A13:N1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4F2C-7610-418D-A87F-1CB9394453F6}">
  <sheetPr>
    <tabColor rgb="FF00B0F0"/>
  </sheetPr>
  <dimension ref="A2:Q38"/>
  <sheetViews>
    <sheetView workbookViewId="0">
      <selection activeCell="F40" sqref="F40"/>
    </sheetView>
  </sheetViews>
  <sheetFormatPr baseColWidth="10" defaultRowHeight="15" x14ac:dyDescent="0.25"/>
  <sheetData>
    <row r="2" spans="1:17" ht="31.5" x14ac:dyDescent="0.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7" ht="15.75" thickBot="1" x14ac:dyDescent="0.3">
      <c r="P3" s="10"/>
      <c r="Q3" s="10"/>
    </row>
    <row r="4" spans="1:17" ht="21" x14ac:dyDescent="0.35">
      <c r="A4" s="12" t="s">
        <v>1</v>
      </c>
      <c r="B4" s="13"/>
      <c r="C4" s="13"/>
      <c r="D4" s="13"/>
      <c r="E4" s="4"/>
      <c r="F4" s="5"/>
      <c r="H4" s="14" t="s">
        <v>9</v>
      </c>
      <c r="I4" s="15"/>
      <c r="J4" s="15"/>
      <c r="K4" s="15"/>
      <c r="L4" s="15"/>
      <c r="M4" s="15"/>
      <c r="N4" s="15"/>
      <c r="O4" s="15"/>
      <c r="P4" s="15"/>
      <c r="Q4" s="16"/>
    </row>
    <row r="5" spans="1:17" ht="18.75" x14ac:dyDescent="0.3">
      <c r="A5" s="6"/>
      <c r="B5" s="7"/>
      <c r="C5" s="7"/>
      <c r="D5" s="7"/>
      <c r="E5" s="7"/>
      <c r="F5" s="8"/>
      <c r="H5" s="6"/>
      <c r="I5" s="30" t="s">
        <v>5</v>
      </c>
      <c r="J5" s="30" t="s">
        <v>6</v>
      </c>
      <c r="K5" s="30" t="s">
        <v>7</v>
      </c>
      <c r="L5" s="7"/>
      <c r="M5" s="7"/>
      <c r="N5" s="31" t="s">
        <v>5</v>
      </c>
      <c r="O5" s="7"/>
      <c r="P5" s="30" t="s">
        <v>19</v>
      </c>
      <c r="Q5" s="8"/>
    </row>
    <row r="6" spans="1:17" x14ac:dyDescent="0.25">
      <c r="A6" s="6"/>
      <c r="B6" s="7"/>
      <c r="C6" s="7"/>
      <c r="D6" s="7"/>
      <c r="E6" s="7"/>
      <c r="F6" s="8"/>
      <c r="H6" s="6"/>
      <c r="I6" s="20">
        <v>10</v>
      </c>
      <c r="J6" s="20">
        <v>2</v>
      </c>
      <c r="K6" s="20">
        <v>3</v>
      </c>
      <c r="L6" s="7"/>
      <c r="M6" s="7"/>
      <c r="N6" s="20">
        <v>15</v>
      </c>
      <c r="O6" s="7"/>
      <c r="P6" s="20">
        <v>1.1000000000000001</v>
      </c>
      <c r="Q6" s="8"/>
    </row>
    <row r="7" spans="1:17" ht="15.75" x14ac:dyDescent="0.25">
      <c r="A7" s="6"/>
      <c r="B7" s="7"/>
      <c r="C7" s="7"/>
      <c r="D7" s="7"/>
      <c r="E7" s="7"/>
      <c r="F7" s="8"/>
      <c r="H7" s="19" t="s">
        <v>4</v>
      </c>
      <c r="I7" s="20">
        <v>2</v>
      </c>
      <c r="J7" s="20">
        <v>10</v>
      </c>
      <c r="K7" s="20">
        <v>1</v>
      </c>
      <c r="L7" s="7"/>
      <c r="M7" s="17" t="s">
        <v>8</v>
      </c>
      <c r="N7" s="20">
        <v>13</v>
      </c>
      <c r="O7" s="7"/>
      <c r="Q7" s="8"/>
    </row>
    <row r="8" spans="1:17" x14ac:dyDescent="0.25">
      <c r="A8" s="6"/>
      <c r="B8" s="7"/>
      <c r="C8" s="7"/>
      <c r="D8" s="7"/>
      <c r="E8" s="7"/>
      <c r="F8" s="8"/>
      <c r="H8" s="6"/>
      <c r="I8" s="20">
        <v>3</v>
      </c>
      <c r="J8" s="20">
        <v>1</v>
      </c>
      <c r="K8" s="20">
        <v>10</v>
      </c>
      <c r="L8" s="7"/>
      <c r="M8" s="7"/>
      <c r="N8" s="20">
        <v>14</v>
      </c>
      <c r="O8" s="7"/>
      <c r="Q8" s="8"/>
    </row>
    <row r="9" spans="1:17" x14ac:dyDescent="0.25">
      <c r="A9" s="6"/>
      <c r="B9" s="7"/>
      <c r="C9" s="7"/>
      <c r="D9" s="7"/>
      <c r="E9" s="7"/>
      <c r="F9" s="8"/>
      <c r="H9" s="6"/>
      <c r="I9" s="7"/>
      <c r="J9" s="7"/>
      <c r="K9" s="7"/>
      <c r="L9" s="7"/>
      <c r="M9" s="7"/>
      <c r="N9" s="20"/>
      <c r="O9" s="7"/>
      <c r="Q9" s="8"/>
    </row>
    <row r="10" spans="1:17" ht="15.75" thickBot="1" x14ac:dyDescent="0.3">
      <c r="A10" s="9"/>
      <c r="B10" s="10"/>
      <c r="C10" s="10"/>
      <c r="D10" s="10"/>
      <c r="E10" s="10"/>
      <c r="F10" s="11"/>
      <c r="H10" s="9"/>
      <c r="I10" s="10"/>
      <c r="J10" s="10"/>
      <c r="K10" s="10"/>
      <c r="L10" s="10"/>
      <c r="M10" s="10"/>
      <c r="N10" s="10"/>
      <c r="O10" s="10"/>
      <c r="P10" s="10"/>
      <c r="Q10" s="11"/>
    </row>
    <row r="13" spans="1:17" ht="36" x14ac:dyDescent="0.55000000000000004">
      <c r="A13" s="21" t="s">
        <v>20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5" spans="1:17" ht="18.75" x14ac:dyDescent="0.3">
      <c r="A15" s="23" t="s">
        <v>17</v>
      </c>
    </row>
    <row r="16" spans="1:17" ht="18.75" x14ac:dyDescent="0.3">
      <c r="A16" s="28" t="s">
        <v>18</v>
      </c>
      <c r="B16" s="28"/>
      <c r="C16" s="28"/>
      <c r="D16" s="28"/>
    </row>
    <row r="19" spans="2:6" x14ac:dyDescent="0.25">
      <c r="B19" s="1" t="s">
        <v>14</v>
      </c>
      <c r="C19" s="1" t="s">
        <v>2</v>
      </c>
      <c r="D19" s="1" t="s">
        <v>3</v>
      </c>
      <c r="E19" s="1" t="s">
        <v>12</v>
      </c>
      <c r="F19" s="1" t="s">
        <v>13</v>
      </c>
    </row>
    <row r="20" spans="2:6" x14ac:dyDescent="0.25">
      <c r="B20" s="1">
        <v>1</v>
      </c>
      <c r="C20" s="1">
        <v>0</v>
      </c>
      <c r="D20" s="1">
        <v>0</v>
      </c>
      <c r="E20" s="1">
        <v>0</v>
      </c>
      <c r="F20" s="1"/>
    </row>
    <row r="21" spans="2:6" x14ac:dyDescent="0.25">
      <c r="B21" s="1">
        <v>2</v>
      </c>
      <c r="C21" s="24">
        <f>(1-$P$6)*C20+$P$6*(1/10*(15-2*D20-3*E20))</f>
        <v>1.6500000000000001</v>
      </c>
      <c r="D21" s="24">
        <f>((1-$P$6)*D20+$P$6*(1/10*(13-2*C21-E20)))</f>
        <v>1.0669999999999999</v>
      </c>
      <c r="E21" s="24">
        <f>(1-$P$6)*E20+$P$6*(1/10*(14-3*C21-D21))</f>
        <v>0.87813000000000019</v>
      </c>
      <c r="F21" s="27">
        <f t="shared" ref="F21:F31" si="0">MAX(ABS(C21-C20),ABS(D21-D20),ABS(E21-E20))</f>
        <v>1.6500000000000001</v>
      </c>
    </row>
    <row r="22" spans="2:6" x14ac:dyDescent="0.25">
      <c r="B22" s="1">
        <v>3</v>
      </c>
      <c r="C22" s="24">
        <f t="shared" ref="C22:C31" si="1">(1-$P$6)*C21+$P$6*(1/10*(15-2*D21-3*E21))</f>
        <v>0.96047709999999997</v>
      </c>
      <c r="D22" s="24">
        <f t="shared" ref="D22:D31" si="2">((1-$P$6)*D21+$P$6*(1/10*(13-2*C22-E21)))</f>
        <v>1.0154007379999999</v>
      </c>
      <c r="E22" s="24">
        <f t="shared" ref="E22:E31" si="3">(1-$P$6)*E21+$P$6*(1/10*(14-3*C22-D22))</f>
        <v>1.0235354758200002</v>
      </c>
      <c r="F22" s="27">
        <f t="shared" si="0"/>
        <v>0.68952290000000016</v>
      </c>
    </row>
    <row r="23" spans="2:6" x14ac:dyDescent="0.25">
      <c r="B23" s="1">
        <v>4</v>
      </c>
      <c r="C23" s="24">
        <f t="shared" si="1"/>
        <v>0.99279742061939991</v>
      </c>
      <c r="D23" s="24">
        <f t="shared" si="2"/>
        <v>0.9974555913235319</v>
      </c>
      <c r="E23" s="24">
        <f t="shared" si="3"/>
        <v>1.0003031885680096</v>
      </c>
      <c r="F23" s="27">
        <f t="shared" si="0"/>
        <v>3.2320320619399934E-2</v>
      </c>
    </row>
    <row r="24" spans="2:6" x14ac:dyDescent="0.25">
      <c r="B24" s="1">
        <v>5</v>
      </c>
      <c r="C24" s="24">
        <f t="shared" si="1"/>
        <v>1.0011799756194399</v>
      </c>
      <c r="D24" s="24">
        <f t="shared" si="2"/>
        <v>0.99996149548888913</v>
      </c>
      <c r="E24" s="24">
        <f t="shared" si="3"/>
        <v>0.99958452468500592</v>
      </c>
      <c r="F24" s="27">
        <f t="shared" si="0"/>
        <v>8.3825550000400373E-3</v>
      </c>
    </row>
    <row r="25" spans="2:6" x14ac:dyDescent="0.25">
      <c r="B25" s="1">
        <v>6</v>
      </c>
      <c r="C25" s="24">
        <f t="shared" si="1"/>
        <v>1.0000275802844483</v>
      </c>
      <c r="D25" s="24">
        <f t="shared" si="2"/>
        <v>1.0000434850731821</v>
      </c>
      <c r="E25" s="24">
        <f t="shared" si="3"/>
        <v>1.0000276626795817</v>
      </c>
      <c r="F25" s="27">
        <f t="shared" si="0"/>
        <v>1.1523953349916738E-3</v>
      </c>
    </row>
    <row r="26" spans="2:6" x14ac:dyDescent="0.25">
      <c r="B26" s="1">
        <v>7</v>
      </c>
      <c r="C26" s="24">
        <f t="shared" si="1"/>
        <v>0.99997854657119312</v>
      </c>
      <c r="D26" s="24">
        <f t="shared" si="2"/>
        <v>0.9999973283522654</v>
      </c>
      <c r="E26" s="24">
        <f t="shared" si="3"/>
        <v>1.000004607244799</v>
      </c>
      <c r="F26" s="27">
        <f t="shared" si="0"/>
        <v>4.9033713255153266E-5</v>
      </c>
    </row>
    <row r="27" spans="2:6" x14ac:dyDescent="0.25">
      <c r="B27" s="35">
        <v>8</v>
      </c>
      <c r="C27" s="24">
        <f t="shared" si="1"/>
        <v>1.0000012127145987</v>
      </c>
      <c r="D27" s="24">
        <f t="shared" si="2"/>
        <v>0.99999949357063378</v>
      </c>
      <c r="E27" s="24">
        <f t="shared" si="3"/>
        <v>0.99999919478693289</v>
      </c>
      <c r="F27" s="37">
        <f t="shared" si="0"/>
        <v>2.2666143405625228E-5</v>
      </c>
    </row>
    <row r="28" spans="2:6" x14ac:dyDescent="0.25">
      <c r="B28" s="25">
        <v>9</v>
      </c>
      <c r="C28" s="26">
        <f t="shared" si="1"/>
        <v>1.0000002558633128</v>
      </c>
      <c r="D28" s="26">
        <f t="shared" si="2"/>
        <v>1.0000000829264453</v>
      </c>
      <c r="E28" s="26">
        <f t="shared" si="3"/>
        <v>0.99999998696450465</v>
      </c>
      <c r="F28" s="34">
        <f t="shared" si="0"/>
        <v>9.5685128598255176E-7</v>
      </c>
    </row>
    <row r="29" spans="2:6" x14ac:dyDescent="0.25">
      <c r="B29" s="1">
        <v>10</v>
      </c>
      <c r="C29" s="24">
        <f t="shared" si="1"/>
        <v>0.99999996047156436</v>
      </c>
      <c r="D29" s="24">
        <f t="shared" si="2"/>
        <v>1.0000000018375157</v>
      </c>
      <c r="E29" s="24">
        <f t="shared" si="3"/>
        <v>1.0000000141458065</v>
      </c>
      <c r="F29" s="27">
        <f t="shared" si="0"/>
        <v>2.9539174839499083E-7</v>
      </c>
    </row>
    <row r="30" spans="2:6" x14ac:dyDescent="0.25">
      <c r="B30" s="35">
        <v>11</v>
      </c>
      <c r="C30" s="36">
        <f t="shared" si="1"/>
        <v>0.99999999888047397</v>
      </c>
      <c r="D30" s="36">
        <f t="shared" si="2"/>
        <v>0.99999999850650545</v>
      </c>
      <c r="E30" s="36">
        <f t="shared" si="3"/>
        <v>0.9999999991191475</v>
      </c>
      <c r="F30" s="37">
        <f t="shared" si="0"/>
        <v>3.8408909608378394E-8</v>
      </c>
    </row>
    <row r="31" spans="2:6" ht="15" customHeight="1" x14ac:dyDescent="0.25">
      <c r="B31" s="1">
        <v>12</v>
      </c>
      <c r="C31" s="24">
        <f t="shared" si="1"/>
        <v>1.0000000007312027</v>
      </c>
      <c r="D31" s="24">
        <f t="shared" si="2"/>
        <v>1.0000000000853786</v>
      </c>
      <c r="E31" s="24">
        <f t="shared" si="3"/>
        <v>0.99999999983739662</v>
      </c>
      <c r="F31" s="27">
        <f t="shared" si="0"/>
        <v>1.8507286814184454E-9</v>
      </c>
    </row>
    <row r="32" spans="2:6" ht="15" customHeight="1" x14ac:dyDescent="0.25"/>
    <row r="33" spans="1:14" ht="18.75" x14ac:dyDescent="0.3">
      <c r="A33" s="32" t="s">
        <v>15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 ht="18.75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8" spans="1:14" ht="18.75" x14ac:dyDescent="0.3">
      <c r="A38" s="32" t="s">
        <v>16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</sheetData>
  <mergeCells count="5">
    <mergeCell ref="A16:D16"/>
    <mergeCell ref="H4:Q4"/>
    <mergeCell ref="A2:N2"/>
    <mergeCell ref="A4:D4"/>
    <mergeCell ref="A13:N1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31A6-FEDF-474E-B439-1E141874A014}">
  <sheetPr>
    <tabColor rgb="FFFFC000"/>
  </sheetPr>
  <dimension ref="A2:AA40"/>
  <sheetViews>
    <sheetView tabSelected="1" topLeftCell="A4" workbookViewId="0">
      <selection activeCell="T20" sqref="T20"/>
    </sheetView>
  </sheetViews>
  <sheetFormatPr baseColWidth="10" defaultRowHeight="15" x14ac:dyDescent="0.25"/>
  <cols>
    <col min="15" max="15" width="11.85546875" bestFit="1" customWidth="1"/>
  </cols>
  <sheetData>
    <row r="2" spans="1:17" ht="31.5" x14ac:dyDescent="0.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P2" s="7"/>
      <c r="Q2" s="7"/>
    </row>
    <row r="3" spans="1:17" ht="15.75" thickBot="1" x14ac:dyDescent="0.3">
      <c r="P3" s="7"/>
      <c r="Q3" s="7"/>
    </row>
    <row r="4" spans="1:17" ht="21" x14ac:dyDescent="0.35">
      <c r="A4" s="12" t="s">
        <v>1</v>
      </c>
      <c r="B4" s="13"/>
      <c r="C4" s="13"/>
      <c r="D4" s="13"/>
      <c r="E4" s="4"/>
      <c r="F4" s="5"/>
      <c r="H4" s="14" t="s">
        <v>9</v>
      </c>
      <c r="I4" s="15"/>
      <c r="J4" s="15"/>
      <c r="K4" s="15"/>
      <c r="L4" s="15"/>
      <c r="M4" s="15"/>
      <c r="N4" s="15"/>
      <c r="O4" s="16"/>
      <c r="P4" s="38"/>
      <c r="Q4" s="38"/>
    </row>
    <row r="5" spans="1:17" ht="18.75" x14ac:dyDescent="0.3">
      <c r="A5" s="6"/>
      <c r="B5" s="7"/>
      <c r="C5" s="7"/>
      <c r="D5" s="7"/>
      <c r="E5" s="7"/>
      <c r="F5" s="8"/>
      <c r="H5" s="6"/>
      <c r="I5" s="30" t="s">
        <v>5</v>
      </c>
      <c r="J5" s="30" t="s">
        <v>6</v>
      </c>
      <c r="K5" s="30" t="s">
        <v>7</v>
      </c>
      <c r="L5" s="7"/>
      <c r="M5" s="7"/>
      <c r="N5" s="31" t="s">
        <v>5</v>
      </c>
      <c r="O5" s="8"/>
      <c r="P5" s="18"/>
      <c r="Q5" s="7"/>
    </row>
    <row r="6" spans="1:17" x14ac:dyDescent="0.25">
      <c r="A6" s="6"/>
      <c r="B6" s="7"/>
      <c r="C6" s="7"/>
      <c r="D6" s="7"/>
      <c r="E6" s="7"/>
      <c r="F6" s="8"/>
      <c r="H6" s="6"/>
      <c r="I6" s="20">
        <v>10</v>
      </c>
      <c r="J6" s="20">
        <v>2</v>
      </c>
      <c r="K6" s="20">
        <v>3</v>
      </c>
      <c r="L6" s="7"/>
      <c r="M6" s="7"/>
      <c r="N6" s="20">
        <v>15</v>
      </c>
      <c r="O6" s="8"/>
      <c r="P6" s="7"/>
      <c r="Q6" s="7"/>
    </row>
    <row r="7" spans="1:17" ht="15.75" x14ac:dyDescent="0.25">
      <c r="A7" s="6"/>
      <c r="B7" s="7"/>
      <c r="C7" s="7"/>
      <c r="D7" s="7"/>
      <c r="E7" s="7"/>
      <c r="F7" s="8"/>
      <c r="H7" s="19" t="s">
        <v>4</v>
      </c>
      <c r="I7" s="20">
        <v>2</v>
      </c>
      <c r="J7" s="20">
        <v>10</v>
      </c>
      <c r="K7" s="20">
        <v>1</v>
      </c>
      <c r="L7" s="7"/>
      <c r="M7" s="17" t="s">
        <v>8</v>
      </c>
      <c r="N7" s="20">
        <v>13</v>
      </c>
      <c r="O7" s="8"/>
      <c r="P7" s="7"/>
      <c r="Q7" s="7"/>
    </row>
    <row r="8" spans="1:17" x14ac:dyDescent="0.25">
      <c r="A8" s="6"/>
      <c r="B8" s="7"/>
      <c r="C8" s="7"/>
      <c r="D8" s="7"/>
      <c r="E8" s="7"/>
      <c r="F8" s="8"/>
      <c r="H8" s="6"/>
      <c r="I8" s="20">
        <v>3</v>
      </c>
      <c r="J8" s="20">
        <v>1</v>
      </c>
      <c r="K8" s="20">
        <v>10</v>
      </c>
      <c r="L8" s="7"/>
      <c r="M8" s="7"/>
      <c r="N8" s="20">
        <v>14</v>
      </c>
      <c r="O8" s="8"/>
      <c r="P8" s="7"/>
      <c r="Q8" s="7"/>
    </row>
    <row r="9" spans="1:17" x14ac:dyDescent="0.25">
      <c r="A9" s="6"/>
      <c r="B9" s="7"/>
      <c r="C9" s="7"/>
      <c r="D9" s="7"/>
      <c r="E9" s="7"/>
      <c r="F9" s="8"/>
      <c r="H9" s="6"/>
      <c r="I9" s="7"/>
      <c r="J9" s="7"/>
      <c r="K9" s="7"/>
      <c r="L9" s="7"/>
      <c r="M9" s="7"/>
      <c r="N9" s="20"/>
      <c r="O9" s="8"/>
      <c r="P9" s="7"/>
      <c r="Q9" s="7"/>
    </row>
    <row r="10" spans="1:17" ht="15.75" thickBot="1" x14ac:dyDescent="0.3">
      <c r="A10" s="9"/>
      <c r="B10" s="10"/>
      <c r="C10" s="10"/>
      <c r="D10" s="10"/>
      <c r="E10" s="10"/>
      <c r="F10" s="11"/>
      <c r="H10" s="9"/>
      <c r="I10" s="10"/>
      <c r="J10" s="10"/>
      <c r="K10" s="10"/>
      <c r="L10" s="10"/>
      <c r="M10" s="10"/>
      <c r="N10" s="10"/>
      <c r="O10" s="11"/>
      <c r="P10" s="7"/>
      <c r="Q10" s="7"/>
    </row>
    <row r="11" spans="1:17" x14ac:dyDescent="0.25">
      <c r="P11" s="7"/>
      <c r="Q11" s="7"/>
    </row>
    <row r="12" spans="1:17" x14ac:dyDescent="0.25">
      <c r="P12" s="7"/>
      <c r="Q12" s="7"/>
    </row>
    <row r="13" spans="1:17" ht="36" x14ac:dyDescent="0.55000000000000004">
      <c r="A13" s="21" t="s">
        <v>33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7"/>
      <c r="Q13" s="7"/>
    </row>
    <row r="15" spans="1:17" ht="18.75" x14ac:dyDescent="0.3">
      <c r="A15" s="23" t="s">
        <v>34</v>
      </c>
    </row>
    <row r="16" spans="1:17" ht="18.75" x14ac:dyDescent="0.3">
      <c r="A16" s="28"/>
      <c r="B16" s="28"/>
      <c r="C16" s="28"/>
      <c r="D16" s="28"/>
    </row>
    <row r="18" spans="1:17" ht="18.75" x14ac:dyDescent="0.3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20" spans="1:17" x14ac:dyDescent="0.25">
      <c r="B20" s="1" t="s">
        <v>14</v>
      </c>
      <c r="C20" s="1" t="s">
        <v>2</v>
      </c>
      <c r="D20" s="1" t="s">
        <v>3</v>
      </c>
      <c r="E20" s="1" t="s">
        <v>12</v>
      </c>
      <c r="F20" s="1" t="s">
        <v>21</v>
      </c>
      <c r="G20" s="1" t="s">
        <v>22</v>
      </c>
      <c r="H20" s="1" t="s">
        <v>23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N20" s="1" t="s">
        <v>30</v>
      </c>
      <c r="O20" s="1" t="s">
        <v>31</v>
      </c>
      <c r="P20" s="1" t="s">
        <v>24</v>
      </c>
      <c r="Q20" s="1" t="s">
        <v>32</v>
      </c>
    </row>
    <row r="21" spans="1:17" x14ac:dyDescent="0.25">
      <c r="B21" s="1">
        <v>1</v>
      </c>
      <c r="C21" s="1">
        <v>0</v>
      </c>
      <c r="D21" s="1">
        <v>0</v>
      </c>
      <c r="E21" s="1">
        <v>0</v>
      </c>
      <c r="F21" s="1">
        <f>15-(10*Tabla134[[#This Row],[X]]+2*Tabla134[[#This Row],[Y]]+3*Tabla134[[#This Row],[Z]])</f>
        <v>15</v>
      </c>
      <c r="G21" s="1">
        <f>13-(2*Tabla134[[#This Row],[X]]+10*Tabla134[[#This Row],[Y]]+Tabla134[[#This Row],[Z]])</f>
        <v>13</v>
      </c>
      <c r="H21" s="1">
        <f>14-(3*Tabla134[[#This Row],[X]]+Tabla134[[#This Row],[Y]]+10*Tabla134[[#This Row],[Z]])</f>
        <v>14</v>
      </c>
      <c r="I21" s="1">
        <f>Tabla134[[#This Row],[r1]]</f>
        <v>15</v>
      </c>
      <c r="J21" s="1">
        <f>Tabla134[[#This Row],[r2]]</f>
        <v>13</v>
      </c>
      <c r="K21" s="1">
        <f>Tabla134[[#This Row],[r3]]</f>
        <v>14</v>
      </c>
      <c r="L21" s="1">
        <f>10*Tabla134[[#This Row],[p1]]+Tabla134[[#This Row],[p2]]+Tabla134[[#This Row],[p3]]</f>
        <v>177</v>
      </c>
      <c r="M21" s="1">
        <f>Tabla134[[#This Row],[p1]]+10*Tabla134[[#This Row],[p2]]+Tabla134[[#This Row],[p3]]</f>
        <v>159</v>
      </c>
      <c r="N21" s="1">
        <f>Tabla134[[#This Row],[p1]]+Tabla134[[#This Row],[p2]]+10*Tabla134[[#This Row],[p3]]</f>
        <v>168</v>
      </c>
      <c r="O21" s="1">
        <f t="shared" ref="O21:O32" si="0">SUMPRODUCT(F21:H21,F21:H21)</f>
        <v>590</v>
      </c>
      <c r="P21" s="1">
        <f>Tabla134[[#This Row],[rTr]]/(Tabla134[[#This Row],[p1]]*Tabla134[[#This Row],[Ap1]] + Tabla134[[#This Row],[p2]]*Tabla134[[#This Row],[Ap2]] + Tabla134[[#This Row],[p3]]*Tabla134[[#This Row],[Ap3]])</f>
        <v>8.3404014701724621E-2</v>
      </c>
      <c r="Q21" s="39"/>
    </row>
    <row r="22" spans="1:17" x14ac:dyDescent="0.25">
      <c r="B22" s="1">
        <v>2</v>
      </c>
      <c r="C22" s="24">
        <f>C21+P21*I21</f>
        <v>1.2510602205258694</v>
      </c>
      <c r="D22" s="24">
        <f>D21+P21*J21</f>
        <v>1.0842521911224201</v>
      </c>
      <c r="E22" s="24">
        <f>E21+P21*K21</f>
        <v>1.1676562058241446</v>
      </c>
      <c r="F22" s="1">
        <f>F21-P21*L21</f>
        <v>0.23748939779474121</v>
      </c>
      <c r="G22" s="1">
        <f>G21-P21*M21</f>
        <v>-0.26123833757421444</v>
      </c>
      <c r="H22" s="1">
        <f>H21-P21*N21</f>
        <v>-1.1874469889736616E-2</v>
      </c>
      <c r="I22" s="1">
        <f>Tabla134[[#This Row],[r1]]+Tabla134[[#This Row],[Beta]]*I21</f>
        <v>0.24066196608589233</v>
      </c>
      <c r="J22" s="1">
        <f>Tabla134[[#This Row],[r2]]+Tabla134[[#This Row],[Beta]]*J21</f>
        <v>-0.25848877838855017</v>
      </c>
      <c r="K22" s="1">
        <f>Tabla134[[#This Row],[r3]]+Tabla134[[#This Row],[Beta]]*K21</f>
        <v>-8.9134061513289134E-3</v>
      </c>
      <c r="L22" s="1">
        <f>10*Tabla134[[#This Row],[p1]]+Tabla134[[#This Row],[p2]]+Tabla134[[#This Row],[p3]]</f>
        <v>2.1392174763190441</v>
      </c>
      <c r="M22" s="1">
        <f>Tabla134[[#This Row],[p1]]+10*Tabla134[[#This Row],[p2]]+Tabla134[[#This Row],[p3]]</f>
        <v>-2.3531392239509379</v>
      </c>
      <c r="N22" s="1">
        <f>Tabla134[[#This Row],[p1]]+Tabla134[[#This Row],[p2]]+10*Tabla134[[#This Row],[p3]]</f>
        <v>-0.10696087381594697</v>
      </c>
      <c r="O22" s="1">
        <f>SUMPRODUCT(F22:H22,F22:H22)</f>
        <v>0.12478768611861031</v>
      </c>
      <c r="P22" s="1">
        <f>Tabla134[[#This Row],[rTr]]/(Tabla134[[#This Row],[Ap1]]*Tabla134[[#This Row],[p1]]+Tabla134[[#This Row],[Ap2]]*Tabla134[[#This Row],[p2]]+Tabla134[[#This Row],[p3]]*Tabla134[[#This Row],[Ap3]])</f>
        <v>0.11101694915254236</v>
      </c>
      <c r="Q22" s="39">
        <f>Tabla134[[#This Row],[rTr]]/O21</f>
        <v>2.1150455274340731E-4</v>
      </c>
    </row>
    <row r="23" spans="1:17" x14ac:dyDescent="0.25">
      <c r="B23" s="1">
        <v>3</v>
      </c>
      <c r="C23" s="24">
        <f>C22+P22*I22</f>
        <v>1.2777777777777777</v>
      </c>
      <c r="D23" s="24">
        <f>D22+P22*J22</f>
        <v>1.0555555555555556</v>
      </c>
      <c r="E23" s="24">
        <f>E22+P22*K22</f>
        <v>1.1666666666666665</v>
      </c>
      <c r="F23" s="1">
        <f>F22-P22*L22</f>
        <v>0</v>
      </c>
      <c r="G23" s="1">
        <f>G22-P22*M22</f>
        <v>0</v>
      </c>
      <c r="H23" s="1">
        <f>H22-P22*N22</f>
        <v>-1.3183898417423734E-16</v>
      </c>
      <c r="I23" s="1">
        <f>Tabla134[[#This Row],[r1]]+Tabla134[[#This Row],[Beta]]*I22</f>
        <v>3.3521498514182975E-32</v>
      </c>
      <c r="J23" s="1">
        <f>Tabla134[[#This Row],[r2]]+Tabla134[[#This Row],[Beta]]*J22</f>
        <v>-3.6004572478196414E-32</v>
      </c>
      <c r="K23" s="1">
        <f>Tabla134[[#This Row],[r3]]+Tabla134[[#This Row],[Beta]]*K22</f>
        <v>-1.3183898417423734E-16</v>
      </c>
      <c r="L23" s="1">
        <f>10*Tabla134[[#This Row],[p1]]+Tabla134[[#This Row],[p2]]+Tabla134[[#This Row],[p3]]</f>
        <v>-1.3183898417423704E-16</v>
      </c>
      <c r="M23" s="1">
        <f>Tabla134[[#This Row],[p1]]+10*Tabla134[[#This Row],[p2]]+Tabla134[[#This Row],[p3]]</f>
        <v>-1.3183898417423766E-16</v>
      </c>
      <c r="N23" s="1">
        <f>Tabla134[[#This Row],[p1]]+Tabla134[[#This Row],[p2]]+10*Tabla134[[#This Row],[p3]]</f>
        <v>-1.3183898417423734E-15</v>
      </c>
      <c r="O23" s="1">
        <f>SUMPRODUCT(F23:H23,F23:H23)</f>
        <v>1.7381517748094804E-32</v>
      </c>
      <c r="P23" s="1">
        <f>Tabla134[[#This Row],[rTr]]/(Tabla134[[#This Row],[Ap1]]*Tabla134[[#This Row],[p1]]+Tabla134[[#This Row],[Ap2]]*Tabla134[[#This Row],[p2]]+Tabla134[[#This Row],[p3]]*Tabla134[[#This Row],[Ap3]])</f>
        <v>0.1</v>
      </c>
      <c r="Q23" s="39">
        <f>Tabla134[[#This Row],[rTr]]/O22</f>
        <v>1.3928872542418749E-31</v>
      </c>
    </row>
    <row r="24" spans="1:17" x14ac:dyDescent="0.25">
      <c r="B24" s="25">
        <v>4</v>
      </c>
      <c r="C24" s="26">
        <f t="shared" ref="C24:C32" si="1">C23+P23*I23</f>
        <v>1.2777777777777777</v>
      </c>
      <c r="D24" s="26">
        <f t="shared" ref="D24:D32" si="2">D23+P23*J23</f>
        <v>1.0555555555555556</v>
      </c>
      <c r="E24" s="26">
        <f t="shared" ref="E24:E32" si="3">E23+P23*K23</f>
        <v>1.1666666666666665</v>
      </c>
      <c r="F24" s="25">
        <f t="shared" ref="F24:F32" si="4">F23-P23*L23</f>
        <v>1.3183898417423706E-17</v>
      </c>
      <c r="G24" s="25">
        <f t="shared" ref="G24:G32" si="5">G23-P23*M23</f>
        <v>1.3183898417423767E-17</v>
      </c>
      <c r="H24" s="25">
        <f t="shared" ref="H24:H32" si="6">H23-P23*N23</f>
        <v>0</v>
      </c>
      <c r="I24" s="25">
        <f>Tabla134[[#This Row],[r1]]+Tabla134[[#This Row],[Beta]]*I23</f>
        <v>1.3183898417423706E-17</v>
      </c>
      <c r="J24" s="25">
        <f>Tabla134[[#This Row],[r2]]+Tabla134[[#This Row],[Beta]]*J23</f>
        <v>1.3183898417423767E-17</v>
      </c>
      <c r="K24" s="25">
        <f>Tabla134[[#This Row],[r3]]+Tabla134[[#This Row],[Beta]]*K23</f>
        <v>-2.6367796834847476E-18</v>
      </c>
      <c r="L24" s="25">
        <f>10*Tabla134[[#This Row],[p1]]+Tabla134[[#This Row],[p2]]+Tabla134[[#This Row],[p3]]</f>
        <v>1.4238610290817608E-16</v>
      </c>
      <c r="M24" s="25">
        <f>Tabla134[[#This Row],[p1]]+10*Tabla134[[#This Row],[p2]]+Tabla134[[#This Row],[p3]]</f>
        <v>1.4238610290817664E-16</v>
      </c>
      <c r="N24" s="25">
        <f>Tabla134[[#This Row],[p1]]+Tabla134[[#This Row],[p2]]+10*Tabla134[[#This Row],[p3]]</f>
        <v>0</v>
      </c>
      <c r="O24" s="25">
        <f t="shared" ref="O24:O32" si="7">SUMPRODUCT(F24:H24,F24:H24)</f>
        <v>3.4763035496189619E-34</v>
      </c>
      <c r="P24" s="25">
        <f>Tabla134[[#This Row],[rTr]]/(Tabla134[[#This Row],[Ap1]]*Tabla134[[#This Row],[p1]]+Tabla134[[#This Row],[Ap2]]*Tabla134[[#This Row],[p2]]+Tabla134[[#This Row],[p3]]*Tabla134[[#This Row],[Ap3]])</f>
        <v>9.2592592592592587E-2</v>
      </c>
      <c r="Q24" s="40">
        <f>Tabla134[[#This Row],[rTr]]/O23</f>
        <v>2.0000000000000007E-2</v>
      </c>
    </row>
    <row r="25" spans="1:17" x14ac:dyDescent="0.25">
      <c r="B25" s="35">
        <v>5</v>
      </c>
      <c r="C25" s="36">
        <f t="shared" si="1"/>
        <v>1.2777777777777777</v>
      </c>
      <c r="D25" s="36">
        <f t="shared" si="2"/>
        <v>1.0555555555555556</v>
      </c>
      <c r="E25" s="36">
        <f t="shared" si="3"/>
        <v>1.1666666666666665</v>
      </c>
      <c r="F25" s="35">
        <f t="shared" si="4"/>
        <v>0</v>
      </c>
      <c r="G25" s="35">
        <f t="shared" si="5"/>
        <v>0</v>
      </c>
      <c r="H25" s="35">
        <f t="shared" si="6"/>
        <v>0</v>
      </c>
      <c r="I25" s="35">
        <f>Tabla134[[#This Row],[r1]]+Tabla134[[#This Row],[Beta]]*I24</f>
        <v>0</v>
      </c>
      <c r="J25" s="35">
        <f>Tabla134[[#This Row],[r2]]+Tabla134[[#This Row],[Beta]]*J24</f>
        <v>0</v>
      </c>
      <c r="K25" s="35">
        <f>Tabla134[[#This Row],[r3]]+Tabla134[[#This Row],[Beta]]*K24</f>
        <v>0</v>
      </c>
      <c r="L25" s="35">
        <f>10*Tabla134[[#This Row],[p1]]+Tabla134[[#This Row],[p2]]+Tabla134[[#This Row],[p3]]</f>
        <v>0</v>
      </c>
      <c r="M25" s="35">
        <f>Tabla134[[#This Row],[p1]]+10*Tabla134[[#This Row],[p2]]+Tabla134[[#This Row],[p3]]</f>
        <v>0</v>
      </c>
      <c r="N25" s="35">
        <f>Tabla134[[#This Row],[p1]]+Tabla134[[#This Row],[p2]]+10*Tabla134[[#This Row],[p3]]</f>
        <v>0</v>
      </c>
      <c r="O25" s="35">
        <f t="shared" si="7"/>
        <v>0</v>
      </c>
      <c r="P25" s="35" t="e">
        <f>Tabla134[[#This Row],[rTr]]/(Tabla134[[#This Row],[Ap1]]*Tabla134[[#This Row],[p1]]+Tabla134[[#This Row],[Ap2]]*Tabla134[[#This Row],[p2]]+Tabla134[[#This Row],[p3]]*Tabla134[[#This Row],[Ap3]])</f>
        <v>#DIV/0!</v>
      </c>
      <c r="Q25" s="41">
        <f>Tabla134[[#This Row],[rTr]]/O24</f>
        <v>0</v>
      </c>
    </row>
    <row r="26" spans="1:17" x14ac:dyDescent="0.25">
      <c r="B26" s="1">
        <v>6</v>
      </c>
      <c r="C26" s="24" t="e">
        <f t="shared" si="1"/>
        <v>#DIV/0!</v>
      </c>
      <c r="D26" s="24" t="e">
        <f t="shared" si="2"/>
        <v>#DIV/0!</v>
      </c>
      <c r="E26" s="24" t="e">
        <f t="shared" si="3"/>
        <v>#DIV/0!</v>
      </c>
      <c r="F26" s="1" t="e">
        <f t="shared" si="4"/>
        <v>#DIV/0!</v>
      </c>
      <c r="G26" s="1" t="e">
        <f t="shared" si="5"/>
        <v>#DIV/0!</v>
      </c>
      <c r="H26" s="1" t="e">
        <f t="shared" si="6"/>
        <v>#DIV/0!</v>
      </c>
      <c r="I26" s="1" t="e">
        <f>Tabla134[[#This Row],[r1]]+Tabla134[[#This Row],[Beta]]*I25</f>
        <v>#DIV/0!</v>
      </c>
      <c r="J26" s="1" t="e">
        <f>Tabla134[[#This Row],[r2]]+Tabla134[[#This Row],[Beta]]*J25</f>
        <v>#DIV/0!</v>
      </c>
      <c r="K26" s="1" t="e">
        <f>Tabla134[[#This Row],[r3]]+Tabla134[[#This Row],[Beta]]*K25</f>
        <v>#DIV/0!</v>
      </c>
      <c r="L26" s="1" t="e">
        <f>10*Tabla134[[#This Row],[p1]]+Tabla134[[#This Row],[p2]]+Tabla134[[#This Row],[p3]]</f>
        <v>#DIV/0!</v>
      </c>
      <c r="M26" s="1" t="e">
        <f>Tabla134[[#This Row],[p1]]+10*Tabla134[[#This Row],[p2]]+Tabla134[[#This Row],[p3]]</f>
        <v>#DIV/0!</v>
      </c>
      <c r="N26" s="1" t="e">
        <f>Tabla134[[#This Row],[p1]]+Tabla134[[#This Row],[p2]]+10*Tabla134[[#This Row],[p3]]</f>
        <v>#DIV/0!</v>
      </c>
      <c r="O26" s="1" t="e">
        <f t="shared" si="7"/>
        <v>#DIV/0!</v>
      </c>
      <c r="P26" s="1" t="e">
        <f>Tabla134[[#This Row],[rTr]]/(Tabla134[[#This Row],[Ap1]]*Tabla134[[#This Row],[p1]]+Tabla134[[#This Row],[Ap2]]*Tabla134[[#This Row],[p2]]+Tabla134[[#This Row],[p3]]*Tabla134[[#This Row],[Ap3]])</f>
        <v>#DIV/0!</v>
      </c>
      <c r="Q26" s="39" t="e">
        <f>Tabla134[[#This Row],[rTr]]/O25</f>
        <v>#DIV/0!</v>
      </c>
    </row>
    <row r="27" spans="1:17" x14ac:dyDescent="0.25">
      <c r="B27" s="1">
        <v>7</v>
      </c>
      <c r="C27" s="24" t="e">
        <f t="shared" si="1"/>
        <v>#DIV/0!</v>
      </c>
      <c r="D27" s="24" t="e">
        <f t="shared" si="2"/>
        <v>#DIV/0!</v>
      </c>
      <c r="E27" s="24" t="e">
        <f t="shared" si="3"/>
        <v>#DIV/0!</v>
      </c>
      <c r="F27" s="1" t="e">
        <f t="shared" si="4"/>
        <v>#DIV/0!</v>
      </c>
      <c r="G27" s="1" t="e">
        <f t="shared" si="5"/>
        <v>#DIV/0!</v>
      </c>
      <c r="H27" s="1" t="e">
        <f t="shared" si="6"/>
        <v>#DIV/0!</v>
      </c>
      <c r="I27" s="1" t="e">
        <f>Tabla134[[#This Row],[r1]]+Tabla134[[#This Row],[Beta]]*I26</f>
        <v>#DIV/0!</v>
      </c>
      <c r="J27" s="1" t="e">
        <f>Tabla134[[#This Row],[r2]]+Tabla134[[#This Row],[Beta]]*J26</f>
        <v>#DIV/0!</v>
      </c>
      <c r="K27" s="1" t="e">
        <f>Tabla134[[#This Row],[r3]]+Tabla134[[#This Row],[Beta]]*K26</f>
        <v>#DIV/0!</v>
      </c>
      <c r="L27" s="1" t="e">
        <f>10*Tabla134[[#This Row],[p1]]+Tabla134[[#This Row],[p2]]+Tabla134[[#This Row],[p3]]</f>
        <v>#DIV/0!</v>
      </c>
      <c r="M27" s="1" t="e">
        <f>Tabla134[[#This Row],[p1]]+10*Tabla134[[#This Row],[p2]]+Tabla134[[#This Row],[p3]]</f>
        <v>#DIV/0!</v>
      </c>
      <c r="N27" s="1" t="e">
        <f>Tabla134[[#This Row],[p1]]+Tabla134[[#This Row],[p2]]+10*Tabla134[[#This Row],[p3]]</f>
        <v>#DIV/0!</v>
      </c>
      <c r="O27" s="1" t="e">
        <f t="shared" si="7"/>
        <v>#DIV/0!</v>
      </c>
      <c r="P27" s="1" t="e">
        <f>Tabla134[[#This Row],[rTr]]/(Tabla134[[#This Row],[Ap1]]*Tabla134[[#This Row],[p1]]+Tabla134[[#This Row],[Ap2]]*Tabla134[[#This Row],[p2]]+Tabla134[[#This Row],[p3]]*Tabla134[[#This Row],[Ap3]])</f>
        <v>#DIV/0!</v>
      </c>
      <c r="Q27" s="39" t="e">
        <f>Tabla134[[#This Row],[rTr]]/O26</f>
        <v>#DIV/0!</v>
      </c>
    </row>
    <row r="28" spans="1:17" x14ac:dyDescent="0.25">
      <c r="B28" s="35">
        <v>8</v>
      </c>
      <c r="C28" s="24" t="e">
        <f t="shared" si="1"/>
        <v>#DIV/0!</v>
      </c>
      <c r="D28" s="24" t="e">
        <f t="shared" si="2"/>
        <v>#DIV/0!</v>
      </c>
      <c r="E28" s="24" t="e">
        <f t="shared" si="3"/>
        <v>#DIV/0!</v>
      </c>
      <c r="F28" s="1" t="e">
        <f t="shared" si="4"/>
        <v>#DIV/0!</v>
      </c>
      <c r="G28" s="1" t="e">
        <f t="shared" si="5"/>
        <v>#DIV/0!</v>
      </c>
      <c r="H28" s="1" t="e">
        <f t="shared" si="6"/>
        <v>#DIV/0!</v>
      </c>
      <c r="I28" s="1" t="e">
        <f>Tabla134[[#This Row],[r1]]+Tabla134[[#This Row],[Beta]]*I27</f>
        <v>#DIV/0!</v>
      </c>
      <c r="J28" s="1" t="e">
        <f>Tabla134[[#This Row],[r2]]+Tabla134[[#This Row],[Beta]]*J27</f>
        <v>#DIV/0!</v>
      </c>
      <c r="K28" s="1" t="e">
        <f>Tabla134[[#This Row],[r3]]+Tabla134[[#This Row],[Beta]]*K27</f>
        <v>#DIV/0!</v>
      </c>
      <c r="L28" s="1" t="e">
        <f>10*Tabla134[[#This Row],[p1]]+Tabla134[[#This Row],[p2]]+Tabla134[[#This Row],[p3]]</f>
        <v>#DIV/0!</v>
      </c>
      <c r="M28" s="1" t="e">
        <f>Tabla134[[#This Row],[p1]]+10*Tabla134[[#This Row],[p2]]+Tabla134[[#This Row],[p3]]</f>
        <v>#DIV/0!</v>
      </c>
      <c r="N28" s="1" t="e">
        <f>Tabla134[[#This Row],[p1]]+Tabla134[[#This Row],[p2]]+10*Tabla134[[#This Row],[p3]]</f>
        <v>#DIV/0!</v>
      </c>
      <c r="O28" s="1" t="e">
        <f t="shared" si="7"/>
        <v>#DIV/0!</v>
      </c>
      <c r="P28" s="1" t="e">
        <f>Tabla134[[#This Row],[rTr]]/(Tabla134[[#This Row],[Ap1]]*Tabla134[[#This Row],[p1]]+Tabla134[[#This Row],[Ap2]]*Tabla134[[#This Row],[p2]]+Tabla134[[#This Row],[p3]]*Tabla134[[#This Row],[Ap3]])</f>
        <v>#DIV/0!</v>
      </c>
      <c r="Q28" s="39" t="e">
        <f>Tabla134[[#This Row],[rTr]]/O27</f>
        <v>#DIV/0!</v>
      </c>
    </row>
    <row r="29" spans="1:17" x14ac:dyDescent="0.25">
      <c r="B29" s="1">
        <v>9</v>
      </c>
      <c r="C29" s="24" t="e">
        <f t="shared" si="1"/>
        <v>#DIV/0!</v>
      </c>
      <c r="D29" s="24" t="e">
        <f t="shared" si="2"/>
        <v>#DIV/0!</v>
      </c>
      <c r="E29" s="24" t="e">
        <f t="shared" si="3"/>
        <v>#DIV/0!</v>
      </c>
      <c r="F29" s="1" t="e">
        <f t="shared" si="4"/>
        <v>#DIV/0!</v>
      </c>
      <c r="G29" s="1" t="e">
        <f t="shared" si="5"/>
        <v>#DIV/0!</v>
      </c>
      <c r="H29" s="1" t="e">
        <f t="shared" si="6"/>
        <v>#DIV/0!</v>
      </c>
      <c r="I29" s="1" t="e">
        <f>Tabla134[[#This Row],[r1]]+Tabla134[[#This Row],[Beta]]*I28</f>
        <v>#DIV/0!</v>
      </c>
      <c r="J29" s="1" t="e">
        <f>Tabla134[[#This Row],[r2]]+Tabla134[[#This Row],[Beta]]*J28</f>
        <v>#DIV/0!</v>
      </c>
      <c r="K29" s="1" t="e">
        <f>Tabla134[[#This Row],[r3]]+Tabla134[[#This Row],[Beta]]*K28</f>
        <v>#DIV/0!</v>
      </c>
      <c r="L29" s="1" t="e">
        <f>10*Tabla134[[#This Row],[p1]]+Tabla134[[#This Row],[p2]]+Tabla134[[#This Row],[p3]]</f>
        <v>#DIV/0!</v>
      </c>
      <c r="M29" s="1" t="e">
        <f>Tabla134[[#This Row],[p1]]+10*Tabla134[[#This Row],[p2]]+Tabla134[[#This Row],[p3]]</f>
        <v>#DIV/0!</v>
      </c>
      <c r="N29" s="1" t="e">
        <f>Tabla134[[#This Row],[p1]]+Tabla134[[#This Row],[p2]]+10*Tabla134[[#This Row],[p3]]</f>
        <v>#DIV/0!</v>
      </c>
      <c r="O29" s="1" t="e">
        <f t="shared" si="7"/>
        <v>#DIV/0!</v>
      </c>
      <c r="P29" s="1" t="e">
        <f>Tabla134[[#This Row],[rTr]]/(Tabla134[[#This Row],[Ap1]]*Tabla134[[#This Row],[p1]]+Tabla134[[#This Row],[Ap2]]*Tabla134[[#This Row],[p2]]+Tabla134[[#This Row],[p3]]*Tabla134[[#This Row],[Ap3]])</f>
        <v>#DIV/0!</v>
      </c>
      <c r="Q29" s="39" t="e">
        <f>Tabla134[[#This Row],[rTr]]/O28</f>
        <v>#DIV/0!</v>
      </c>
    </row>
    <row r="30" spans="1:17" x14ac:dyDescent="0.25">
      <c r="B30" s="1">
        <v>10</v>
      </c>
      <c r="C30" s="24" t="e">
        <f t="shared" si="1"/>
        <v>#DIV/0!</v>
      </c>
      <c r="D30" s="24" t="e">
        <f t="shared" si="2"/>
        <v>#DIV/0!</v>
      </c>
      <c r="E30" s="24" t="e">
        <f t="shared" si="3"/>
        <v>#DIV/0!</v>
      </c>
      <c r="F30" s="1" t="e">
        <f t="shared" si="4"/>
        <v>#DIV/0!</v>
      </c>
      <c r="G30" s="1" t="e">
        <f t="shared" si="5"/>
        <v>#DIV/0!</v>
      </c>
      <c r="H30" s="1" t="e">
        <f t="shared" si="6"/>
        <v>#DIV/0!</v>
      </c>
      <c r="I30" s="1" t="e">
        <f>Tabla134[[#This Row],[r1]]+Tabla134[[#This Row],[Beta]]*I29</f>
        <v>#DIV/0!</v>
      </c>
      <c r="J30" s="1" t="e">
        <f>Tabla134[[#This Row],[r2]]+Tabla134[[#This Row],[Beta]]*J29</f>
        <v>#DIV/0!</v>
      </c>
      <c r="K30" s="1" t="e">
        <f>Tabla134[[#This Row],[r3]]+Tabla134[[#This Row],[Beta]]*K29</f>
        <v>#DIV/0!</v>
      </c>
      <c r="L30" s="1" t="e">
        <f>10*Tabla134[[#This Row],[p1]]+Tabla134[[#This Row],[p2]]+Tabla134[[#This Row],[p3]]</f>
        <v>#DIV/0!</v>
      </c>
      <c r="M30" s="1" t="e">
        <f>Tabla134[[#This Row],[p1]]+10*Tabla134[[#This Row],[p2]]+Tabla134[[#This Row],[p3]]</f>
        <v>#DIV/0!</v>
      </c>
      <c r="N30" s="1" t="e">
        <f>Tabla134[[#This Row],[p1]]+Tabla134[[#This Row],[p2]]+10*Tabla134[[#This Row],[p3]]</f>
        <v>#DIV/0!</v>
      </c>
      <c r="O30" s="1" t="e">
        <f t="shared" si="7"/>
        <v>#DIV/0!</v>
      </c>
      <c r="P30" s="1" t="e">
        <f>Tabla134[[#This Row],[rTr]]/(Tabla134[[#This Row],[Ap1]]*Tabla134[[#This Row],[p1]]+Tabla134[[#This Row],[Ap2]]*Tabla134[[#This Row],[p2]]+Tabla134[[#This Row],[p3]]*Tabla134[[#This Row],[Ap3]])</f>
        <v>#DIV/0!</v>
      </c>
      <c r="Q30" s="39" t="e">
        <f>Tabla134[[#This Row],[rTr]]/O29</f>
        <v>#DIV/0!</v>
      </c>
    </row>
    <row r="31" spans="1:17" ht="15" customHeight="1" x14ac:dyDescent="0.25">
      <c r="B31" s="35">
        <v>11</v>
      </c>
      <c r="C31" s="24" t="e">
        <f t="shared" si="1"/>
        <v>#DIV/0!</v>
      </c>
      <c r="D31" s="24" t="e">
        <f t="shared" si="2"/>
        <v>#DIV/0!</v>
      </c>
      <c r="E31" s="24" t="e">
        <f t="shared" si="3"/>
        <v>#DIV/0!</v>
      </c>
      <c r="F31" s="1" t="e">
        <f t="shared" si="4"/>
        <v>#DIV/0!</v>
      </c>
      <c r="G31" s="1" t="e">
        <f t="shared" si="5"/>
        <v>#DIV/0!</v>
      </c>
      <c r="H31" s="1" t="e">
        <f t="shared" si="6"/>
        <v>#DIV/0!</v>
      </c>
      <c r="I31" s="1" t="e">
        <f>Tabla134[[#This Row],[r1]]+Tabla134[[#This Row],[Beta]]*I30</f>
        <v>#DIV/0!</v>
      </c>
      <c r="J31" s="1" t="e">
        <f>Tabla134[[#This Row],[r2]]+Tabla134[[#This Row],[Beta]]*J30</f>
        <v>#DIV/0!</v>
      </c>
      <c r="K31" s="1" t="e">
        <f>Tabla134[[#This Row],[r3]]+Tabla134[[#This Row],[Beta]]*K30</f>
        <v>#DIV/0!</v>
      </c>
      <c r="L31" s="1" t="e">
        <f>10*Tabla134[[#This Row],[p1]]+Tabla134[[#This Row],[p2]]+Tabla134[[#This Row],[p3]]</f>
        <v>#DIV/0!</v>
      </c>
      <c r="M31" s="1" t="e">
        <f>Tabla134[[#This Row],[p1]]+10*Tabla134[[#This Row],[p2]]+Tabla134[[#This Row],[p3]]</f>
        <v>#DIV/0!</v>
      </c>
      <c r="N31" s="1" t="e">
        <f>Tabla134[[#This Row],[p1]]+Tabla134[[#This Row],[p2]]+10*Tabla134[[#This Row],[p3]]</f>
        <v>#DIV/0!</v>
      </c>
      <c r="O31" s="1" t="e">
        <f t="shared" si="7"/>
        <v>#DIV/0!</v>
      </c>
      <c r="P31" s="1" t="e">
        <f>Tabla134[[#This Row],[rTr]]/(Tabla134[[#This Row],[Ap1]]*Tabla134[[#This Row],[p1]]+Tabla134[[#This Row],[Ap2]]*Tabla134[[#This Row],[p2]]+Tabla134[[#This Row],[p3]]*Tabla134[[#This Row],[Ap3]])</f>
        <v>#DIV/0!</v>
      </c>
      <c r="Q31" s="39" t="e">
        <f>Tabla134[[#This Row],[rTr]]/O30</f>
        <v>#DIV/0!</v>
      </c>
    </row>
    <row r="32" spans="1:17" ht="15" customHeight="1" x14ac:dyDescent="0.25">
      <c r="B32" s="1">
        <v>12</v>
      </c>
      <c r="C32" s="24" t="e">
        <f t="shared" si="1"/>
        <v>#DIV/0!</v>
      </c>
      <c r="D32" s="24" t="e">
        <f t="shared" si="2"/>
        <v>#DIV/0!</v>
      </c>
      <c r="E32" s="24" t="e">
        <f t="shared" si="3"/>
        <v>#DIV/0!</v>
      </c>
      <c r="F32" s="1" t="e">
        <f t="shared" si="4"/>
        <v>#DIV/0!</v>
      </c>
      <c r="G32" s="1" t="e">
        <f t="shared" si="5"/>
        <v>#DIV/0!</v>
      </c>
      <c r="H32" s="1" t="e">
        <f t="shared" si="6"/>
        <v>#DIV/0!</v>
      </c>
      <c r="I32" s="1" t="e">
        <f>Tabla134[[#This Row],[r1]]+Tabla134[[#This Row],[Beta]]*I31</f>
        <v>#DIV/0!</v>
      </c>
      <c r="J32" s="1" t="e">
        <f>Tabla134[[#This Row],[r2]]+Tabla134[[#This Row],[Beta]]*J31</f>
        <v>#DIV/0!</v>
      </c>
      <c r="K32" s="1" t="e">
        <f>Tabla134[[#This Row],[r3]]+Tabla134[[#This Row],[Beta]]*K31</f>
        <v>#DIV/0!</v>
      </c>
      <c r="L32" s="1" t="e">
        <f>10*Tabla134[[#This Row],[p1]]+Tabla134[[#This Row],[p2]]+Tabla134[[#This Row],[p3]]</f>
        <v>#DIV/0!</v>
      </c>
      <c r="M32" s="1" t="e">
        <f>Tabla134[[#This Row],[p1]]+10*Tabla134[[#This Row],[p2]]+Tabla134[[#This Row],[p3]]</f>
        <v>#DIV/0!</v>
      </c>
      <c r="N32" s="1" t="e">
        <f>Tabla134[[#This Row],[p1]]+Tabla134[[#This Row],[p2]]+10*Tabla134[[#This Row],[p3]]</f>
        <v>#DIV/0!</v>
      </c>
      <c r="O32" s="1" t="e">
        <f t="shared" si="7"/>
        <v>#DIV/0!</v>
      </c>
      <c r="P32" s="1" t="e">
        <f>Tabla134[[#This Row],[rTr]]/(Tabla134[[#This Row],[Ap1]]*Tabla134[[#This Row],[p1]]+Tabla134[[#This Row],[Ap2]]*Tabla134[[#This Row],[p2]]+Tabla134[[#This Row],[p3]]*Tabla134[[#This Row],[Ap3]])</f>
        <v>#DIV/0!</v>
      </c>
      <c r="Q32" s="39" t="e">
        <f>Tabla134[[#This Row],[rTr]]/O31</f>
        <v>#DIV/0!</v>
      </c>
    </row>
    <row r="33" spans="2:27" ht="18.75" x14ac:dyDescent="0.3">
      <c r="L33" s="32"/>
      <c r="M33" s="32"/>
      <c r="N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2:27" ht="18.75" x14ac:dyDescent="0.3">
      <c r="L34" s="32"/>
      <c r="M34" s="32"/>
      <c r="N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8" spans="2:27" x14ac:dyDescent="0.25">
      <c r="L38" s="33"/>
      <c r="M38" s="33"/>
      <c r="N38" s="33"/>
      <c r="AA38" s="33"/>
    </row>
    <row r="40" spans="2:27" ht="18.75" x14ac:dyDescent="0.3">
      <c r="B40" s="32"/>
      <c r="C40" s="33"/>
      <c r="D40" s="33"/>
      <c r="E40" s="33"/>
      <c r="F40" s="33"/>
      <c r="G40" s="33"/>
      <c r="H40" s="33"/>
      <c r="I40" s="33"/>
      <c r="J40" s="33"/>
      <c r="K40" s="33"/>
    </row>
  </sheetData>
  <mergeCells count="6">
    <mergeCell ref="A18:L18"/>
    <mergeCell ref="A2:N2"/>
    <mergeCell ref="A4:D4"/>
    <mergeCell ref="A13:N13"/>
    <mergeCell ref="A16:D16"/>
    <mergeCell ref="H4:O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Metodo Gauss-Seidel</vt:lpstr>
      <vt:lpstr>Metodo SOR</vt:lpstr>
      <vt:lpstr>Metodo 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2026-03-14T23:00:54Z</dcterms:created>
  <dcterms:modified xsi:type="dcterms:W3CDTF">2026-03-15T01:22:06Z</dcterms:modified>
</cp:coreProperties>
</file>