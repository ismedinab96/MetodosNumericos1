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ktop\Desktop\Informatica\Carrera Informatica\5to\Metodos Numericos\Semana 3\"/>
    </mc:Choice>
  </mc:AlternateContent>
  <xr:revisionPtr revIDLastSave="0" documentId="13_ncr:1_{48CC3B0F-7A7C-4E82-A44E-D0A2353C0392}" xr6:coauthVersionLast="47" xr6:coauthVersionMax="47" xr10:uidLastSave="{00000000-0000-0000-0000-000000000000}"/>
  <bookViews>
    <workbookView xWindow="-120" yWindow="-120" windowWidth="29040" windowHeight="15720" activeTab="3" xr2:uid="{C50AEA1B-D0F9-429E-B640-AFCF0CF8E867}"/>
  </bookViews>
  <sheets>
    <sheet name="Solucion Exacta" sheetId="7" r:id="rId1"/>
    <sheet name="Metodo Gauss-Seidel" sheetId="1" r:id="rId2"/>
    <sheet name="Metodo SOR" sheetId="4" r:id="rId3"/>
    <sheet name="Metodo GC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4" i="5" l="1"/>
  <c r="U24" i="5"/>
  <c r="T24" i="5"/>
  <c r="S24" i="5"/>
  <c r="R24" i="5"/>
  <c r="L24" i="5"/>
  <c r="K24" i="5"/>
  <c r="J24" i="5"/>
  <c r="O24" i="5" s="1"/>
  <c r="I24" i="5"/>
  <c r="N24" i="5" s="1"/>
  <c r="H24" i="5"/>
  <c r="C25" i="4"/>
  <c r="H22" i="1"/>
  <c r="H23" i="1"/>
  <c r="H24" i="1"/>
  <c r="H25" i="1"/>
  <c r="H26" i="1"/>
  <c r="H27" i="1"/>
  <c r="H28" i="1"/>
  <c r="H29" i="1"/>
  <c r="H30" i="1"/>
  <c r="H31" i="1"/>
  <c r="H21" i="1"/>
  <c r="C22" i="1"/>
  <c r="D22" i="1" s="1"/>
  <c r="G21" i="1"/>
  <c r="F21" i="1"/>
  <c r="D21" i="1"/>
  <c r="E21" i="1"/>
  <c r="C21" i="1"/>
  <c r="J41" i="7" a="1"/>
  <c r="J41" i="7" s="1"/>
  <c r="I22" i="7" a="1"/>
  <c r="I22" i="7" s="1"/>
  <c r="D25" i="4" l="1"/>
  <c r="E25" i="4"/>
  <c r="E22" i="1"/>
  <c r="M24" i="5"/>
  <c r="F25" i="4" l="1"/>
  <c r="C26" i="4"/>
  <c r="C23" i="1"/>
  <c r="F22" i="1"/>
  <c r="D26" i="4" l="1"/>
  <c r="G25" i="4"/>
  <c r="D23" i="1"/>
  <c r="G22" i="1"/>
  <c r="H25" i="4" l="1"/>
  <c r="E26" i="4"/>
  <c r="C27" i="4" s="1"/>
  <c r="E23" i="1"/>
  <c r="F26" i="4" l="1"/>
  <c r="G26" i="4"/>
  <c r="H26" i="4" s="1"/>
  <c r="C24" i="1"/>
  <c r="F23" i="1"/>
  <c r="D27" i="4" l="1"/>
  <c r="D24" i="1"/>
  <c r="G23" i="1"/>
  <c r="E27" i="4" l="1"/>
  <c r="F27" i="4"/>
  <c r="E24" i="1"/>
  <c r="C25" i="1"/>
  <c r="G27" i="4" l="1"/>
  <c r="H27" i="4"/>
  <c r="C28" i="4"/>
  <c r="F24" i="1"/>
  <c r="D28" i="4" l="1"/>
  <c r="E28" i="4"/>
  <c r="G24" i="1"/>
  <c r="D25" i="1"/>
  <c r="F28" i="4" l="1"/>
  <c r="C29" i="4"/>
  <c r="E25" i="1"/>
  <c r="D29" i="4" l="1"/>
  <c r="G28" i="4"/>
  <c r="E29" i="4"/>
  <c r="F29" i="4" s="1"/>
  <c r="H28" i="4"/>
  <c r="F25" i="1"/>
  <c r="C26" i="1"/>
  <c r="G29" i="4" l="1"/>
  <c r="H29" i="4"/>
  <c r="C30" i="4"/>
  <c r="D26" i="1"/>
  <c r="G25" i="1"/>
  <c r="D30" i="4" l="1"/>
  <c r="E26" i="1"/>
  <c r="C27" i="1"/>
  <c r="E30" i="4" l="1"/>
  <c r="F26" i="1"/>
  <c r="F30" i="4" l="1"/>
  <c r="C31" i="4"/>
  <c r="G26" i="1"/>
  <c r="D27" i="1"/>
  <c r="D31" i="4" l="1"/>
  <c r="G30" i="4"/>
  <c r="E27" i="1"/>
  <c r="E31" i="4" l="1"/>
  <c r="H30" i="4"/>
  <c r="F27" i="1"/>
  <c r="C28" i="1"/>
  <c r="F31" i="4" l="1"/>
  <c r="G31" i="4"/>
  <c r="C32" i="4"/>
  <c r="D28" i="1"/>
  <c r="G27" i="1"/>
  <c r="H31" i="4" l="1"/>
  <c r="D32" i="4"/>
  <c r="E32" i="4"/>
  <c r="E28" i="1"/>
  <c r="C29" i="1" s="1"/>
  <c r="C33" i="4" l="1"/>
  <c r="F32" i="4"/>
  <c r="D33" i="4"/>
  <c r="G32" i="4"/>
  <c r="H32" i="4" s="1"/>
  <c r="F28" i="1"/>
  <c r="E33" i="4" l="1"/>
  <c r="C34" i="4" s="1"/>
  <c r="G28" i="1"/>
  <c r="D29" i="1"/>
  <c r="F33" i="4" l="1"/>
  <c r="E29" i="1"/>
  <c r="G33" i="4" l="1"/>
  <c r="H33" i="4" s="1"/>
  <c r="D34" i="4"/>
  <c r="F29" i="1"/>
  <c r="C30" i="1"/>
  <c r="E34" i="4" l="1"/>
  <c r="F34" i="4"/>
  <c r="D30" i="1"/>
  <c r="G29" i="1"/>
  <c r="G34" i="4" l="1"/>
  <c r="H34" i="4"/>
  <c r="C35" i="4"/>
  <c r="D35" i="4" s="1"/>
  <c r="E30" i="1"/>
  <c r="C31" i="1"/>
  <c r="E35" i="4" l="1"/>
  <c r="F35" i="4" s="1"/>
  <c r="G35" i="4" s="1"/>
  <c r="H35" i="4" s="1"/>
  <c r="F30" i="1"/>
  <c r="G30" i="1" l="1"/>
  <c r="D31" i="1"/>
  <c r="E31" i="1" l="1"/>
  <c r="F31" i="1" l="1"/>
  <c r="G31" i="1" s="1"/>
  <c r="Q24" i="5"/>
  <c r="P24" i="5"/>
  <c r="W24" i="5"/>
  <c r="X24" i="5" l="1"/>
  <c r="K25" i="5" s="1"/>
  <c r="D25" i="5" l="1"/>
  <c r="J25" i="5"/>
  <c r="F25" i="5"/>
  <c r="G25" i="5"/>
  <c r="H25" i="5"/>
  <c r="I25" i="5"/>
  <c r="C25" i="5"/>
  <c r="L25" i="5"/>
  <c r="E25" i="5"/>
  <c r="W25" i="5"/>
  <c r="Y25" i="5" s="1"/>
  <c r="P25" i="5" l="1"/>
  <c r="Q25" i="5"/>
  <c r="O25" i="5"/>
  <c r="M25" i="5"/>
  <c r="N25" i="5"/>
  <c r="R25" i="5" l="1"/>
  <c r="S25" i="5"/>
  <c r="T25" i="5"/>
  <c r="U25" i="5"/>
  <c r="V25" i="5"/>
  <c r="X25" i="5"/>
  <c r="C26" i="5" l="1"/>
  <c r="G26" i="5"/>
  <c r="I26" i="5"/>
  <c r="D26" i="5"/>
  <c r="H26" i="5"/>
  <c r="E26" i="5"/>
  <c r="F26" i="5"/>
  <c r="J26" i="5"/>
  <c r="L26" i="5"/>
  <c r="K26" i="5"/>
  <c r="W26" i="5" l="1"/>
  <c r="Y26" i="5" l="1"/>
  <c r="O26" i="5" s="1"/>
  <c r="Q26" i="5"/>
  <c r="N26" i="5"/>
  <c r="M26" i="5" l="1"/>
  <c r="P26" i="5"/>
  <c r="V26" i="5" l="1"/>
  <c r="R26" i="5"/>
  <c r="S26" i="5"/>
  <c r="U26" i="5"/>
  <c r="T26" i="5"/>
  <c r="X26" i="5"/>
  <c r="K27" i="5" s="1"/>
  <c r="I27" i="5" l="1"/>
  <c r="E27" i="5"/>
  <c r="J27" i="5"/>
  <c r="G27" i="5"/>
  <c r="C27" i="5"/>
  <c r="H27" i="5"/>
  <c r="F27" i="5"/>
  <c r="D27" i="5"/>
  <c r="L27" i="5"/>
  <c r="W27" i="5" l="1"/>
  <c r="Y27" i="5" s="1"/>
  <c r="P27" i="5" l="1"/>
  <c r="Q27" i="5"/>
  <c r="N27" i="5"/>
  <c r="O27" i="5"/>
  <c r="M27" i="5"/>
  <c r="T27" i="5" l="1"/>
  <c r="R27" i="5"/>
  <c r="U27" i="5"/>
  <c r="V27" i="5"/>
  <c r="S27" i="5"/>
  <c r="X27" i="5" s="1"/>
  <c r="I28" i="5" l="1"/>
  <c r="D28" i="5"/>
  <c r="G28" i="5"/>
  <c r="H28" i="5"/>
  <c r="J28" i="5"/>
  <c r="F28" i="5"/>
  <c r="C28" i="5"/>
  <c r="E28" i="5"/>
  <c r="K28" i="5"/>
  <c r="L28" i="5"/>
  <c r="W28" i="5" l="1"/>
  <c r="Y28" i="5" s="1"/>
  <c r="M28" i="5" s="1"/>
  <c r="Q28" i="5" l="1"/>
  <c r="N28" i="5"/>
  <c r="V28" i="5" s="1"/>
  <c r="P28" i="5"/>
  <c r="O28" i="5"/>
  <c r="R28" i="5" l="1"/>
  <c r="U28" i="5"/>
  <c r="T28" i="5"/>
  <c r="S28" i="5"/>
  <c r="X28" i="5"/>
  <c r="G29" i="5" l="1"/>
  <c r="D29" i="5"/>
  <c r="C29" i="5"/>
  <c r="E29" i="5"/>
  <c r="F29" i="5"/>
  <c r="I29" i="5"/>
  <c r="J29" i="5"/>
  <c r="H29" i="5"/>
  <c r="L29" i="5"/>
  <c r="K29" i="5"/>
  <c r="W29" i="5" l="1"/>
  <c r="Y29" i="5" s="1"/>
  <c r="P29" i="5" l="1"/>
  <c r="O29" i="5"/>
  <c r="Q29" i="5"/>
  <c r="M29" i="5"/>
  <c r="N29" i="5"/>
  <c r="V29" i="5" l="1"/>
  <c r="S29" i="5"/>
  <c r="U29" i="5"/>
  <c r="R29" i="5"/>
  <c r="T29" i="5"/>
  <c r="X29" i="5"/>
  <c r="E30" i="5" l="1"/>
  <c r="C30" i="5"/>
  <c r="D30" i="5"/>
  <c r="J30" i="5"/>
  <c r="G30" i="5"/>
  <c r="H30" i="5"/>
  <c r="I30" i="5"/>
  <c r="F30" i="5"/>
  <c r="K30" i="5"/>
  <c r="L30" i="5"/>
  <c r="W30" i="5" l="1"/>
  <c r="Y30" i="5" l="1"/>
  <c r="P30" i="5" s="1"/>
  <c r="O30" i="5"/>
  <c r="M30" i="5"/>
  <c r="N30" i="5"/>
  <c r="Q30" i="5"/>
  <c r="R30" i="5" l="1"/>
  <c r="S30" i="5"/>
  <c r="T30" i="5"/>
  <c r="V30" i="5"/>
  <c r="U30" i="5"/>
  <c r="X30" i="5"/>
  <c r="L31" i="5" l="1"/>
  <c r="J31" i="5"/>
  <c r="D31" i="5"/>
  <c r="C31" i="5"/>
  <c r="E31" i="5"/>
  <c r="F31" i="5"/>
  <c r="I31" i="5"/>
  <c r="H31" i="5"/>
  <c r="G31" i="5"/>
  <c r="K31" i="5"/>
  <c r="W31" i="5" l="1"/>
  <c r="Y31" i="5" s="1"/>
  <c r="P31" i="5" l="1"/>
  <c r="O31" i="5"/>
  <c r="Q31" i="5"/>
  <c r="N31" i="5"/>
  <c r="M31" i="5"/>
  <c r="T31" i="5" l="1"/>
  <c r="V31" i="5"/>
  <c r="S31" i="5"/>
  <c r="R31" i="5"/>
  <c r="U31" i="5"/>
  <c r="X31" i="5"/>
  <c r="L32" i="5" s="1"/>
  <c r="G32" i="5" l="1"/>
  <c r="E32" i="5"/>
  <c r="H32" i="5"/>
  <c r="F32" i="5"/>
  <c r="D32" i="5"/>
  <c r="J32" i="5"/>
  <c r="I32" i="5"/>
  <c r="C32" i="5"/>
  <c r="K32" i="5"/>
  <c r="W32" i="5" l="1"/>
  <c r="Y32" i="5" s="1"/>
  <c r="Q32" i="5" l="1"/>
  <c r="P32" i="5"/>
  <c r="O32" i="5"/>
  <c r="N32" i="5"/>
  <c r="M32" i="5"/>
  <c r="S32" i="5" l="1"/>
  <c r="T32" i="5"/>
  <c r="U32" i="5"/>
  <c r="V32" i="5"/>
  <c r="R32" i="5"/>
  <c r="X32" i="5" s="1"/>
  <c r="I33" i="5" l="1"/>
  <c r="F33" i="5"/>
  <c r="E33" i="5"/>
  <c r="J33" i="5"/>
  <c r="D33" i="5"/>
  <c r="H33" i="5"/>
  <c r="K33" i="5"/>
  <c r="G33" i="5"/>
  <c r="C33" i="5"/>
  <c r="L33" i="5"/>
  <c r="W33" i="5"/>
  <c r="Y33" i="5" s="1"/>
  <c r="P33" i="5" l="1"/>
  <c r="O33" i="5"/>
  <c r="Q33" i="5"/>
  <c r="N33" i="5"/>
  <c r="M33" i="5"/>
  <c r="S33" i="5" l="1"/>
  <c r="U33" i="5"/>
  <c r="V33" i="5"/>
  <c r="R33" i="5"/>
  <c r="T33" i="5"/>
  <c r="X33" i="5"/>
  <c r="D34" i="5" l="1"/>
  <c r="C34" i="5"/>
  <c r="J34" i="5"/>
  <c r="F34" i="5"/>
  <c r="I34" i="5"/>
  <c r="G34" i="5"/>
  <c r="E34" i="5"/>
  <c r="H34" i="5"/>
  <c r="K34" i="5"/>
  <c r="L34" i="5"/>
  <c r="W34" i="5" l="1"/>
  <c r="Y34" i="5" s="1"/>
  <c r="Q34" i="5" l="1"/>
  <c r="O34" i="5"/>
  <c r="P34" i="5"/>
  <c r="M34" i="5"/>
  <c r="N34" i="5"/>
  <c r="U34" i="5" l="1"/>
  <c r="V34" i="5"/>
  <c r="R34" i="5"/>
  <c r="T34" i="5"/>
  <c r="S34" i="5"/>
  <c r="X34" i="5" s="1"/>
  <c r="J35" i="5" l="1"/>
  <c r="G35" i="5"/>
  <c r="C35" i="5"/>
  <c r="D35" i="5"/>
  <c r="I35" i="5"/>
  <c r="H35" i="5"/>
  <c r="E35" i="5"/>
  <c r="F35" i="5"/>
  <c r="L35" i="5"/>
  <c r="K35" i="5"/>
  <c r="W35" i="5" l="1"/>
  <c r="Y35" i="5" l="1"/>
  <c r="P35" i="5"/>
  <c r="M35" i="5" l="1"/>
  <c r="O35" i="5"/>
  <c r="N35" i="5"/>
  <c r="Q35" i="5"/>
  <c r="V35" i="5" l="1"/>
  <c r="R35" i="5"/>
  <c r="U35" i="5"/>
  <c r="S35" i="5"/>
  <c r="T35" i="5"/>
  <c r="X35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<sst xmlns="http://schemas.openxmlformats.org/spreadsheetml/2006/main" count="105" uniqueCount="57">
  <si>
    <t>Métodos Numéricos I</t>
  </si>
  <si>
    <t>Ecuacion Planteada</t>
  </si>
  <si>
    <t>A</t>
  </si>
  <si>
    <t>x</t>
  </si>
  <si>
    <t>b</t>
  </si>
  <si>
    <t>Ecuación en su forma matricial</t>
  </si>
  <si>
    <r>
      <t xml:space="preserve">Para la resolución del sistema de ecuacion lineal por el método de Gauss-Seidel, se plantea un un vector inicial de la forma </t>
    </r>
    <r>
      <rPr>
        <i/>
        <sz val="14"/>
        <color theme="1"/>
        <rFont val="Aptos"/>
        <family val="2"/>
      </rPr>
      <t>(0,0,0)</t>
    </r>
  </si>
  <si>
    <t>Error</t>
  </si>
  <si>
    <t>Iteración</t>
  </si>
  <si>
    <t>Los valores obtenidos aplicando el método de Gauss Seidel Son:</t>
  </si>
  <si>
    <t>Con un error de:</t>
  </si>
  <si>
    <r>
      <t xml:space="preserve">Para la resolución del sistema de ecuacion lineal por el método SOR, se plantea un un vector inicial de la forma </t>
    </r>
    <r>
      <rPr>
        <i/>
        <sz val="14"/>
        <color theme="1"/>
        <rFont val="Aptos"/>
        <family val="2"/>
      </rPr>
      <t>(0,0,0)</t>
    </r>
  </si>
  <si>
    <t>Tomando como valor para Omega</t>
  </si>
  <si>
    <t>w</t>
  </si>
  <si>
    <t>MÉTODO SOR</t>
  </si>
  <si>
    <t>r1</t>
  </si>
  <si>
    <t>r2</t>
  </si>
  <si>
    <t>r3</t>
  </si>
  <si>
    <t>Alpha</t>
  </si>
  <si>
    <t>p1</t>
  </si>
  <si>
    <t>p2</t>
  </si>
  <si>
    <t>p3</t>
  </si>
  <si>
    <t>Ap1</t>
  </si>
  <si>
    <t>Ap2</t>
  </si>
  <si>
    <t>Ap3</t>
  </si>
  <si>
    <t>rTr</t>
  </si>
  <si>
    <t>Beta</t>
  </si>
  <si>
    <t>MÉTODO GRADIENTE CONJUGADO</t>
  </si>
  <si>
    <t>x1</t>
  </si>
  <si>
    <t>x2</t>
  </si>
  <si>
    <t>x3</t>
  </si>
  <si>
    <t>x4</t>
  </si>
  <si>
    <t>x5</t>
  </si>
  <si>
    <t>X1</t>
  </si>
  <si>
    <t>X2</t>
  </si>
  <si>
    <t>X3</t>
  </si>
  <si>
    <t>X4</t>
  </si>
  <si>
    <t>X5</t>
  </si>
  <si>
    <t>MÉTODO ANALITICO</t>
  </si>
  <si>
    <t>Para la resolucion del sistema de ecuaciones por el metodo analitico, se hallara en primera instancia la inversa de A</t>
  </si>
  <si>
    <t>Matriz A</t>
  </si>
  <si>
    <t>Matriz A-1</t>
  </si>
  <si>
    <t>Multiplicamos la inversa A-1 por el vector b</t>
  </si>
  <si>
    <t>Vector b</t>
  </si>
  <si>
    <t>El vector solucion, sera:</t>
  </si>
  <si>
    <t>Vector solución</t>
  </si>
  <si>
    <t>Los valores obtenidos aplicando el método analítico:</t>
  </si>
  <si>
    <t>MÉTODO GAUSS-SEIDEL</t>
  </si>
  <si>
    <t>Los valores obtenidos aplicando el método de SOR son:</t>
  </si>
  <si>
    <r>
      <t xml:space="preserve">Para la resolución del sistema de ecuacion lineal por el método Gradiente Conjugado, se plantea un un vector inicial de la forma </t>
    </r>
    <r>
      <rPr>
        <i/>
        <sz val="14"/>
        <color theme="1"/>
        <rFont val="Aptos"/>
        <family val="2"/>
      </rPr>
      <t>(0,0,0,0,0)</t>
    </r>
  </si>
  <si>
    <t>r4</t>
  </si>
  <si>
    <t>r5</t>
  </si>
  <si>
    <t>p4</t>
  </si>
  <si>
    <t>p5</t>
  </si>
  <si>
    <t>Ap4</t>
  </si>
  <si>
    <t>Ap5</t>
  </si>
  <si>
    <t>Los valores obtenidos aplicando el método Gradiente Conjugado 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</si>
</sst>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000"/>
    <numFmt numFmtId="166" formatCode="0.000000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Aptos"/>
      <family val="2"/>
    </font>
    <font>
      <b/>
      <sz val="16"/>
      <color theme="1"/>
      <name val="Aptos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4"/>
      <color theme="1"/>
      <name val="Aptos"/>
      <family val="2"/>
    </font>
    <font>
      <sz val="14"/>
      <color theme="1"/>
      <name val="Aptos"/>
      <family val="2"/>
    </font>
    <font>
      <i/>
      <sz val="14"/>
      <color theme="1"/>
      <name val="Aptos"/>
      <family val="2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rgb="FF006100"/>
      <name val="Calibri"/>
      <family val="2"/>
      <scheme val="minor"/>
    </font>
    <font>
      <b/>
      <sz val="14"/>
      <color rgb="FF9C5700"/>
      <name val="Calibri"/>
      <family val="2"/>
      <scheme val="minor"/>
    </font>
    <font>
      <b/>
      <sz val="16"/>
      <color rgb="FF9C57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0" fontId="10" fillId="0" borderId="10" applyNumberFormat="0" applyFill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11" applyNumberFormat="0" applyAlignment="0" applyProtection="0"/>
    <xf numFmtId="0" fontId="15" fillId="7" borderId="11" applyNumberFormat="0" applyAlignment="0" applyProtection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/>
    <xf numFmtId="0" fontId="4" fillId="0" borderId="4" xfId="0" applyFont="1" applyBorder="1" applyAlignment="1">
      <alignment horizontal="center"/>
    </xf>
    <xf numFmtId="0" fontId="0" fillId="0" borderId="9" xfId="0" applyBorder="1"/>
    <xf numFmtId="0" fontId="8" fillId="0" borderId="0" xfId="0" applyFont="1"/>
    <xf numFmtId="16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9" xfId="0" applyFont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5" fillId="0" borderId="18" xfId="0" applyFont="1" applyBorder="1" applyAlignment="1">
      <alignment horizontal="center"/>
    </xf>
    <xf numFmtId="0" fontId="0" fillId="0" borderId="18" xfId="0" applyBorder="1"/>
    <xf numFmtId="0" fontId="5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5" fillId="0" borderId="12" xfId="0" applyFont="1" applyBorder="1" applyAlignment="1">
      <alignment horizontal="center"/>
    </xf>
    <xf numFmtId="0" fontId="0" fillId="0" borderId="22" xfId="0" applyBorder="1"/>
    <xf numFmtId="0" fontId="0" fillId="0" borderId="23" xfId="0" applyBorder="1"/>
    <xf numFmtId="166" fontId="0" fillId="0" borderId="9" xfId="0" applyNumberFormat="1" applyBorder="1"/>
    <xf numFmtId="1" fontId="0" fillId="0" borderId="9" xfId="0" applyNumberFormat="1" applyBorder="1"/>
    <xf numFmtId="0" fontId="5" fillId="0" borderId="9" xfId="0" applyFont="1" applyBorder="1"/>
    <xf numFmtId="0" fontId="21" fillId="5" borderId="0" xfId="4" applyFont="1" applyAlignment="1">
      <alignment horizontal="center"/>
    </xf>
    <xf numFmtId="0" fontId="15" fillId="7" borderId="11" xfId="6" applyAlignment="1">
      <alignment horizontal="center"/>
    </xf>
    <xf numFmtId="0" fontId="12" fillId="4" borderId="0" xfId="3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 applyAlignment="1">
      <alignment horizontal="center" vertical="center"/>
    </xf>
    <xf numFmtId="0" fontId="20" fillId="5" borderId="0" xfId="4" applyFont="1" applyAlignment="1">
      <alignment horizontal="center"/>
    </xf>
    <xf numFmtId="0" fontId="14" fillId="6" borderId="11" xfId="5" applyAlignment="1">
      <alignment horizontal="center"/>
    </xf>
    <xf numFmtId="0" fontId="19" fillId="3" borderId="0" xfId="2" applyFont="1" applyAlignment="1">
      <alignment horizontal="center"/>
    </xf>
    <xf numFmtId="0" fontId="18" fillId="5" borderId="10" xfId="1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7">
    <cellStyle name="Bueno" xfId="2" builtinId="26"/>
    <cellStyle name="Cálculo" xfId="6" builtinId="22"/>
    <cellStyle name="Encabezado 1" xfId="1" builtinId="16"/>
    <cellStyle name="Entrada" xfId="5" builtinId="20"/>
    <cellStyle name="Incorrecto" xfId="3" builtinId="27"/>
    <cellStyle name="Neutral" xfId="4" builtinId="28"/>
    <cellStyle name="Normal" xfId="0" builtinId="0"/>
  </cellStyles>
  <dxfs count="44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numFmt numFmtId="164" formatCode="0.000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3</xdr:row>
      <xdr:rowOff>257175</xdr:rowOff>
    </xdr:from>
    <xdr:to>
      <xdr:col>8</xdr:col>
      <xdr:colOff>114300</xdr:colOff>
      <xdr:row>11</xdr:row>
      <xdr:rowOff>9525</xdr:rowOff>
    </xdr:to>
    <xdr:sp macro="" textlink="">
      <xdr:nvSpPr>
        <xdr:cNvPr id="2" name="Abrir llave 1">
          <a:extLst>
            <a:ext uri="{FF2B5EF4-FFF2-40B4-BE49-F238E27FC236}">
              <a16:creationId xmlns:a16="http://schemas.microsoft.com/office/drawing/2014/main" id="{87F53718-9E7E-4CED-B044-8BF6C8CCAE25}"/>
            </a:ext>
          </a:extLst>
        </xdr:cNvPr>
        <xdr:cNvSpPr/>
      </xdr:nvSpPr>
      <xdr:spPr>
        <a:xfrm>
          <a:off x="5781675" y="1047750"/>
          <a:ext cx="428625" cy="14097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>
    <xdr:from>
      <xdr:col>15</xdr:col>
      <xdr:colOff>323850</xdr:colOff>
      <xdr:row>4</xdr:row>
      <xdr:rowOff>19050</xdr:rowOff>
    </xdr:from>
    <xdr:to>
      <xdr:col>15</xdr:col>
      <xdr:colOff>752475</xdr:colOff>
      <xdr:row>10</xdr:row>
      <xdr:rowOff>95250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D13953E0-6073-40F7-9E79-D8F758B84CD1}"/>
            </a:ext>
          </a:extLst>
        </xdr:cNvPr>
        <xdr:cNvSpPr/>
      </xdr:nvSpPr>
      <xdr:spPr>
        <a:xfrm>
          <a:off x="11753850" y="1076325"/>
          <a:ext cx="428625" cy="127635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0</xdr:col>
      <xdr:colOff>552450</xdr:colOff>
      <xdr:row>48</xdr:row>
      <xdr:rowOff>166687</xdr:rowOff>
    </xdr:from>
    <xdr:ext cx="13430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E159A5B-36E1-44D2-BA94-B67C96BC32B5}"/>
                </a:ext>
              </a:extLst>
            </xdr:cNvPr>
            <xdr:cNvSpPr txBox="1"/>
          </xdr:nvSpPr>
          <xdr:spPr>
            <a:xfrm>
              <a:off x="552450" y="10139362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1=1,0000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CE159A5B-36E1-44D2-BA94-B67C96BC32B5}"/>
                </a:ext>
              </a:extLst>
            </xdr:cNvPr>
            <xdr:cNvSpPr txBox="1"/>
          </xdr:nvSpPr>
          <xdr:spPr>
            <a:xfrm>
              <a:off x="552450" y="10139362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𝑋1=1,0000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twoCellAnchor editAs="oneCell">
    <xdr:from>
      <xdr:col>1</xdr:col>
      <xdr:colOff>704850</xdr:colOff>
      <xdr:row>3</xdr:row>
      <xdr:rowOff>257175</xdr:rowOff>
    </xdr:from>
    <xdr:to>
      <xdr:col>5</xdr:col>
      <xdr:colOff>724328</xdr:colOff>
      <xdr:row>13</xdr:row>
      <xdr:rowOff>181250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F5D0E8F-3CA7-441B-B58A-E50DEE8C8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6850" y="1047750"/>
          <a:ext cx="3067478" cy="1971950"/>
        </a:xfrm>
        <a:prstGeom prst="rect">
          <a:avLst/>
        </a:prstGeom>
      </xdr:spPr>
    </xdr:pic>
    <xdr:clientData/>
  </xdr:twoCellAnchor>
  <xdr:oneCellAnchor>
    <xdr:from>
      <xdr:col>3</xdr:col>
      <xdr:colOff>123825</xdr:colOff>
      <xdr:row>48</xdr:row>
      <xdr:rowOff>157162</xdr:rowOff>
    </xdr:from>
    <xdr:ext cx="13430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4F23C06-3E2E-4251-B9EF-0FE839FF869B}"/>
                </a:ext>
              </a:extLst>
            </xdr:cNvPr>
            <xdr:cNvSpPr txBox="1"/>
          </xdr:nvSpPr>
          <xdr:spPr>
            <a:xfrm>
              <a:off x="2409825" y="101298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2=1,0000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0" name="CuadroTexto 9">
              <a:extLst>
                <a:ext uri="{FF2B5EF4-FFF2-40B4-BE49-F238E27FC236}">
                  <a16:creationId xmlns:a16="http://schemas.microsoft.com/office/drawing/2014/main" id="{34F23C06-3E2E-4251-B9EF-0FE839FF869B}"/>
                </a:ext>
              </a:extLst>
            </xdr:cNvPr>
            <xdr:cNvSpPr txBox="1"/>
          </xdr:nvSpPr>
          <xdr:spPr>
            <a:xfrm>
              <a:off x="2409825" y="10129837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𝑋2=1,0000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5</xdr:col>
      <xdr:colOff>628650</xdr:colOff>
      <xdr:row>48</xdr:row>
      <xdr:rowOff>123825</xdr:rowOff>
    </xdr:from>
    <xdr:ext cx="13430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3F0F0C2-355D-4016-B58D-67C1C5D0A898}"/>
                </a:ext>
              </a:extLst>
            </xdr:cNvPr>
            <xdr:cNvSpPr txBox="1"/>
          </xdr:nvSpPr>
          <xdr:spPr>
            <a:xfrm>
              <a:off x="4438650" y="10096500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3=1,0000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1" name="CuadroTexto 10">
              <a:extLst>
                <a:ext uri="{FF2B5EF4-FFF2-40B4-BE49-F238E27FC236}">
                  <a16:creationId xmlns:a16="http://schemas.microsoft.com/office/drawing/2014/main" id="{A3F0F0C2-355D-4016-B58D-67C1C5D0A898}"/>
                </a:ext>
              </a:extLst>
            </xdr:cNvPr>
            <xdr:cNvSpPr txBox="1"/>
          </xdr:nvSpPr>
          <xdr:spPr>
            <a:xfrm>
              <a:off x="4438650" y="10096500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𝑋3=1,0000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8</xdr:col>
      <xdr:colOff>657225</xdr:colOff>
      <xdr:row>48</xdr:row>
      <xdr:rowOff>161925</xdr:rowOff>
    </xdr:from>
    <xdr:ext cx="13430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A3CE9AD-7C4E-4602-A9EA-5F3C210BFC36}"/>
                </a:ext>
              </a:extLst>
            </xdr:cNvPr>
            <xdr:cNvSpPr txBox="1"/>
          </xdr:nvSpPr>
          <xdr:spPr>
            <a:xfrm>
              <a:off x="6753225" y="10134600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4=1,0000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2" name="CuadroTexto 11">
              <a:extLst>
                <a:ext uri="{FF2B5EF4-FFF2-40B4-BE49-F238E27FC236}">
                  <a16:creationId xmlns:a16="http://schemas.microsoft.com/office/drawing/2014/main" id="{AA3CE9AD-7C4E-4602-A9EA-5F3C210BFC36}"/>
                </a:ext>
              </a:extLst>
            </xdr:cNvPr>
            <xdr:cNvSpPr txBox="1"/>
          </xdr:nvSpPr>
          <xdr:spPr>
            <a:xfrm>
              <a:off x="6753225" y="10134600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𝑋4=1,0000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11</xdr:col>
      <xdr:colOff>762000</xdr:colOff>
      <xdr:row>48</xdr:row>
      <xdr:rowOff>133350</xdr:rowOff>
    </xdr:from>
    <xdr:ext cx="13430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2A0FA43-5F49-4413-A689-EA503909EFE6}"/>
                </a:ext>
              </a:extLst>
            </xdr:cNvPr>
            <xdr:cNvSpPr txBox="1"/>
          </xdr:nvSpPr>
          <xdr:spPr>
            <a:xfrm>
              <a:off x="9372600" y="10106025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5=1,0000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B2A0FA43-5F49-4413-A689-EA503909EFE6}"/>
                </a:ext>
              </a:extLst>
            </xdr:cNvPr>
            <xdr:cNvSpPr txBox="1"/>
          </xdr:nvSpPr>
          <xdr:spPr>
            <a:xfrm>
              <a:off x="9372600" y="10106025"/>
              <a:ext cx="13430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𝑋5=1,0000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4</xdr:row>
      <xdr:rowOff>209550</xdr:rowOff>
    </xdr:from>
    <xdr:to>
      <xdr:col>8</xdr:col>
      <xdr:colOff>95250</xdr:colOff>
      <xdr:row>10</xdr:row>
      <xdr:rowOff>95250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1B666F09-F482-439C-A570-F6DE89A8C141}"/>
            </a:ext>
          </a:extLst>
        </xdr:cNvPr>
        <xdr:cNvSpPr/>
      </xdr:nvSpPr>
      <xdr:spPr>
        <a:xfrm>
          <a:off x="5762625" y="1266825"/>
          <a:ext cx="428625" cy="11049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2</xdr:col>
      <xdr:colOff>85725</xdr:colOff>
      <xdr:row>37</xdr:row>
      <xdr:rowOff>204787</xdr:rowOff>
    </xdr:from>
    <xdr:ext cx="1703480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BB1FF6F-4E67-4B07-BDFF-5A9329F590D2}"/>
                </a:ext>
              </a:extLst>
            </xdr:cNvPr>
            <xdr:cNvSpPr txBox="1"/>
          </xdr:nvSpPr>
          <xdr:spPr>
            <a:xfrm>
              <a:off x="1609725" y="7948612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=0,00000072</m:t>
                    </m:r>
                  </m:oMath>
                </m:oMathPara>
              </a14:m>
              <a:endParaRPr lang="es-BO" sz="18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CBB1FF6F-4E67-4B07-BDFF-5A9329F590D2}"/>
                </a:ext>
              </a:extLst>
            </xdr:cNvPr>
            <xdr:cNvSpPr txBox="1"/>
          </xdr:nvSpPr>
          <xdr:spPr>
            <a:xfrm>
              <a:off x="1609725" y="7948612"/>
              <a:ext cx="1703480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𝐸=0,00000072</a:t>
              </a:r>
              <a:endParaRPr lang="es-BO" sz="1800"/>
            </a:p>
          </xdr:txBody>
        </xdr:sp>
      </mc:Fallback>
    </mc:AlternateContent>
    <xdr:clientData/>
  </xdr:oneCellAnchor>
  <xdr:twoCellAnchor editAs="oneCell">
    <xdr:from>
      <xdr:col>2</xdr:col>
      <xdr:colOff>438150</xdr:colOff>
      <xdr:row>3</xdr:row>
      <xdr:rowOff>228600</xdr:rowOff>
    </xdr:from>
    <xdr:to>
      <xdr:col>5</xdr:col>
      <xdr:colOff>667101</xdr:colOff>
      <xdr:row>9</xdr:row>
      <xdr:rowOff>104939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1FCE1C8E-DC37-417B-A463-CA63BB064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19175"/>
          <a:ext cx="2514951" cy="1171739"/>
        </a:xfrm>
        <a:prstGeom prst="rect">
          <a:avLst/>
        </a:prstGeom>
      </xdr:spPr>
    </xdr:pic>
    <xdr:clientData/>
  </xdr:twoCellAnchor>
  <xdr:twoCellAnchor>
    <xdr:from>
      <xdr:col>15</xdr:col>
      <xdr:colOff>323850</xdr:colOff>
      <xdr:row>4</xdr:row>
      <xdr:rowOff>19050</xdr:rowOff>
    </xdr:from>
    <xdr:to>
      <xdr:col>15</xdr:col>
      <xdr:colOff>752475</xdr:colOff>
      <xdr:row>10</xdr:row>
      <xdr:rowOff>95250</xdr:rowOff>
    </xdr:to>
    <xdr:sp macro="" textlink="">
      <xdr:nvSpPr>
        <xdr:cNvPr id="20" name="Abrir llave 19">
          <a:extLst>
            <a:ext uri="{FF2B5EF4-FFF2-40B4-BE49-F238E27FC236}">
              <a16:creationId xmlns:a16="http://schemas.microsoft.com/office/drawing/2014/main" id="{B63E30C8-EA64-4030-94AC-F301691D6CC1}"/>
            </a:ext>
          </a:extLst>
        </xdr:cNvPr>
        <xdr:cNvSpPr/>
      </xdr:nvSpPr>
      <xdr:spPr>
        <a:xfrm>
          <a:off x="12134850" y="1076325"/>
          <a:ext cx="428625" cy="128587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1</xdr:col>
      <xdr:colOff>704850</xdr:colOff>
      <xdr:row>3</xdr:row>
      <xdr:rowOff>257175</xdr:rowOff>
    </xdr:from>
    <xdr:to>
      <xdr:col>5</xdr:col>
      <xdr:colOff>724328</xdr:colOff>
      <xdr:row>13</xdr:row>
      <xdr:rowOff>275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CE2B639-7825-41B6-A76C-F6452DB85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1047750"/>
          <a:ext cx="3067478" cy="1971950"/>
        </a:xfrm>
        <a:prstGeom prst="rect">
          <a:avLst/>
        </a:prstGeom>
      </xdr:spPr>
    </xdr:pic>
    <xdr:clientData/>
  </xdr:twoCellAnchor>
  <xdr:oneCellAnchor>
    <xdr:from>
      <xdr:col>0</xdr:col>
      <xdr:colOff>342900</xdr:colOff>
      <xdr:row>35</xdr:row>
      <xdr:rowOff>42862</xdr:rowOff>
    </xdr:from>
    <xdr:ext cx="17621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B1E7194E-6A33-4AF5-979D-E4FAC5B54E89}"/>
                </a:ext>
              </a:extLst>
            </xdr:cNvPr>
            <xdr:cNvSpPr txBox="1"/>
          </xdr:nvSpPr>
          <xdr:spPr>
            <a:xfrm>
              <a:off x="342900" y="7405687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1=0,98882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B1E7194E-6A33-4AF5-979D-E4FAC5B54E89}"/>
                </a:ext>
              </a:extLst>
            </xdr:cNvPr>
            <xdr:cNvSpPr txBox="1"/>
          </xdr:nvSpPr>
          <xdr:spPr>
            <a:xfrm>
              <a:off x="342900" y="7405687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𝑋1=0,98882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3</xdr:col>
      <xdr:colOff>171451</xdr:colOff>
      <xdr:row>35</xdr:row>
      <xdr:rowOff>33337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D2884076-9FF3-4634-971C-470DA5D46C9E}"/>
                </a:ext>
              </a:extLst>
            </xdr:cNvPr>
            <xdr:cNvSpPr txBox="1"/>
          </xdr:nvSpPr>
          <xdr:spPr>
            <a:xfrm>
              <a:off x="2457451" y="7396162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2=1,08003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D2884076-9FF3-4634-971C-470DA5D46C9E}"/>
                </a:ext>
              </a:extLst>
            </xdr:cNvPr>
            <xdr:cNvSpPr txBox="1"/>
          </xdr:nvSpPr>
          <xdr:spPr>
            <a:xfrm>
              <a:off x="2457451" y="7396162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𝑋2=1,08003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5</xdr:col>
      <xdr:colOff>676276</xdr:colOff>
      <xdr:row>35</xdr:row>
      <xdr:rowOff>0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DC8BD9C3-99CE-40A3-BAC1-5F53FA2F2EFF}"/>
                </a:ext>
              </a:extLst>
            </xdr:cNvPr>
            <xdr:cNvSpPr txBox="1"/>
          </xdr:nvSpPr>
          <xdr:spPr>
            <a:xfrm>
              <a:off x="4486276" y="73628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3=0,72819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DC8BD9C3-99CE-40A3-BAC1-5F53FA2F2EFF}"/>
                </a:ext>
              </a:extLst>
            </xdr:cNvPr>
            <xdr:cNvSpPr txBox="1"/>
          </xdr:nvSpPr>
          <xdr:spPr>
            <a:xfrm>
              <a:off x="4486276" y="73628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𝑋3=0,72819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8</xdr:col>
      <xdr:colOff>666750</xdr:colOff>
      <xdr:row>34</xdr:row>
      <xdr:rowOff>180975</xdr:rowOff>
    </xdr:from>
    <xdr:ext cx="151447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29833621-ADE3-4AEA-BAFE-F88155213B93}"/>
                </a:ext>
              </a:extLst>
            </xdr:cNvPr>
            <xdr:cNvSpPr txBox="1"/>
          </xdr:nvSpPr>
          <xdr:spPr>
            <a:xfrm>
              <a:off x="6762750" y="7353300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4=0,63373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29833621-ADE3-4AEA-BAFE-F88155213B93}"/>
                </a:ext>
              </a:extLst>
            </xdr:cNvPr>
            <xdr:cNvSpPr txBox="1"/>
          </xdr:nvSpPr>
          <xdr:spPr>
            <a:xfrm>
              <a:off x="6762750" y="7353300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𝑋4=0,63373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12</xdr:col>
      <xdr:colOff>276226</xdr:colOff>
      <xdr:row>35</xdr:row>
      <xdr:rowOff>9525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C72D882F-28BA-4735-9E35-9A9C71D93F5F}"/>
                </a:ext>
              </a:extLst>
            </xdr:cNvPr>
            <xdr:cNvSpPr txBox="1"/>
          </xdr:nvSpPr>
          <xdr:spPr>
            <a:xfrm>
              <a:off x="9420226" y="737235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5=0,59956</m:t>
                    </m:r>
                  </m:oMath>
                </m:oMathPara>
              </a14:m>
              <a:endParaRPr lang="es-MX" sz="1800" b="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C72D882F-28BA-4735-9E35-9A9C71D93F5F}"/>
                </a:ext>
              </a:extLst>
            </xdr:cNvPr>
            <xdr:cNvSpPr txBox="1"/>
          </xdr:nvSpPr>
          <xdr:spPr>
            <a:xfrm>
              <a:off x="9420226" y="737235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𝑋5=0,59956</a:t>
              </a:r>
              <a:endParaRPr lang="es-MX" sz="1800" b="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447675</xdr:colOff>
      <xdr:row>3</xdr:row>
      <xdr:rowOff>190501</xdr:rowOff>
    </xdr:from>
    <xdr:to>
      <xdr:col>8</xdr:col>
      <xdr:colOff>114300</xdr:colOff>
      <xdr:row>10</xdr:row>
      <xdr:rowOff>47626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4EE6048D-0A5C-4B57-9602-CF8139667BBA}"/>
            </a:ext>
          </a:extLst>
        </xdr:cNvPr>
        <xdr:cNvSpPr/>
      </xdr:nvSpPr>
      <xdr:spPr>
        <a:xfrm>
          <a:off x="5781675" y="981076"/>
          <a:ext cx="428625" cy="13335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oneCellAnchor>
    <xdr:from>
      <xdr:col>4</xdr:col>
      <xdr:colOff>19050</xdr:colOff>
      <xdr:row>18</xdr:row>
      <xdr:rowOff>223837</xdr:rowOff>
    </xdr:from>
    <xdr:ext cx="828304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D9B5DFB1-1C88-42AD-921C-2EA6F1DD2BBB}"/>
                </a:ext>
              </a:extLst>
            </xdr:cNvPr>
            <xdr:cNvSpPr txBox="1"/>
          </xdr:nvSpPr>
          <xdr:spPr>
            <a:xfrm>
              <a:off x="3067050" y="3519487"/>
              <a:ext cx="828304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BO" sz="18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𝜔</m:t>
                    </m:r>
                    <m:r>
                      <a:rPr lang="es-MX" sz="18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=1,1</m:t>
                    </m:r>
                  </m:oMath>
                </m:oMathPara>
              </a14:m>
              <a:endParaRPr lang="es-BO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D9B5DFB1-1C88-42AD-921C-2EA6F1DD2BBB}"/>
                </a:ext>
              </a:extLst>
            </xdr:cNvPr>
            <xdr:cNvSpPr txBox="1"/>
          </xdr:nvSpPr>
          <xdr:spPr>
            <a:xfrm>
              <a:off x="3067050" y="3519487"/>
              <a:ext cx="828304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BO" sz="1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𝜔</a:t>
              </a:r>
              <a:r>
                <a:rPr lang="es-MX" sz="1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=1,1</a:t>
              </a:r>
              <a:endParaRPr lang="es-BO" sz="1100"/>
            </a:p>
          </xdr:txBody>
        </xdr:sp>
      </mc:Fallback>
    </mc:AlternateContent>
    <xdr:clientData/>
  </xdr:oneCellAnchor>
  <xdr:twoCellAnchor editAs="oneCell">
    <xdr:from>
      <xdr:col>2</xdr:col>
      <xdr:colOff>438150</xdr:colOff>
      <xdr:row>3</xdr:row>
      <xdr:rowOff>257175</xdr:rowOff>
    </xdr:from>
    <xdr:to>
      <xdr:col>5</xdr:col>
      <xdr:colOff>667101</xdr:colOff>
      <xdr:row>9</xdr:row>
      <xdr:rowOff>143039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B594265-A835-4F6F-A7C5-38CF6B5FA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47750"/>
          <a:ext cx="2514951" cy="1171739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3</xdr:row>
      <xdr:rowOff>228600</xdr:rowOff>
    </xdr:from>
    <xdr:to>
      <xdr:col>5</xdr:col>
      <xdr:colOff>667101</xdr:colOff>
      <xdr:row>9</xdr:row>
      <xdr:rowOff>123989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334284C-C35D-4174-971D-3523A5D35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19175"/>
          <a:ext cx="2514951" cy="1171739"/>
        </a:xfrm>
        <a:prstGeom prst="rect">
          <a:avLst/>
        </a:prstGeom>
      </xdr:spPr>
    </xdr:pic>
    <xdr:clientData/>
  </xdr:twoCellAnchor>
  <xdr:twoCellAnchor>
    <xdr:from>
      <xdr:col>15</xdr:col>
      <xdr:colOff>323850</xdr:colOff>
      <xdr:row>4</xdr:row>
      <xdr:rowOff>19050</xdr:rowOff>
    </xdr:from>
    <xdr:to>
      <xdr:col>15</xdr:col>
      <xdr:colOff>752475</xdr:colOff>
      <xdr:row>10</xdr:row>
      <xdr:rowOff>95250</xdr:rowOff>
    </xdr:to>
    <xdr:sp macro="" textlink="">
      <xdr:nvSpPr>
        <xdr:cNvPr id="13" name="Abrir llave 12">
          <a:extLst>
            <a:ext uri="{FF2B5EF4-FFF2-40B4-BE49-F238E27FC236}">
              <a16:creationId xmlns:a16="http://schemas.microsoft.com/office/drawing/2014/main" id="{DEE0612B-638F-4405-9C62-2AFD32F7988E}"/>
            </a:ext>
          </a:extLst>
        </xdr:cNvPr>
        <xdr:cNvSpPr/>
      </xdr:nvSpPr>
      <xdr:spPr>
        <a:xfrm>
          <a:off x="11753850" y="1076325"/>
          <a:ext cx="428625" cy="12954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1</xdr:col>
      <xdr:colOff>704850</xdr:colOff>
      <xdr:row>3</xdr:row>
      <xdr:rowOff>257175</xdr:rowOff>
    </xdr:from>
    <xdr:to>
      <xdr:col>5</xdr:col>
      <xdr:colOff>724328</xdr:colOff>
      <xdr:row>12</xdr:row>
      <xdr:rowOff>152675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E6BC3C4-39AC-42CA-9DB6-AB6722C5D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1047750"/>
          <a:ext cx="3067478" cy="1800500"/>
        </a:xfrm>
        <a:prstGeom prst="rect">
          <a:avLst/>
        </a:prstGeom>
      </xdr:spPr>
    </xdr:pic>
    <xdr:clientData/>
  </xdr:twoCellAnchor>
  <xdr:oneCellAnchor>
    <xdr:from>
      <xdr:col>2</xdr:col>
      <xdr:colOff>85725</xdr:colOff>
      <xdr:row>41</xdr:row>
      <xdr:rowOff>204787</xdr:rowOff>
    </xdr:from>
    <xdr:ext cx="1575688" cy="2818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59A2064-B355-4BED-8AB0-3EFFEE82BAAF}"/>
                </a:ext>
              </a:extLst>
            </xdr:cNvPr>
            <xdr:cNvSpPr txBox="1"/>
          </xdr:nvSpPr>
          <xdr:spPr>
            <a:xfrm>
              <a:off x="1609725" y="9158287"/>
              <a:ext cx="157568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𝐸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=0,0000004</m:t>
                    </m:r>
                  </m:oMath>
                </m:oMathPara>
              </a14:m>
              <a:endParaRPr lang="es-BO" sz="1800"/>
            </a:p>
          </xdr:txBody>
        </xdr:sp>
      </mc:Choice>
      <mc:Fallback xmlns="">
        <xdr:sp macro="" textlink="">
          <xdr:nvSpPr>
            <xdr:cNvPr id="21" name="CuadroTexto 20">
              <a:extLst>
                <a:ext uri="{FF2B5EF4-FFF2-40B4-BE49-F238E27FC236}">
                  <a16:creationId xmlns:a16="http://schemas.microsoft.com/office/drawing/2014/main" id="{959A2064-B355-4BED-8AB0-3EFFEE82BAAF}"/>
                </a:ext>
              </a:extLst>
            </xdr:cNvPr>
            <xdr:cNvSpPr txBox="1"/>
          </xdr:nvSpPr>
          <xdr:spPr>
            <a:xfrm>
              <a:off x="1609725" y="9158287"/>
              <a:ext cx="1575688" cy="2818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𝐸=0,0000004</a:t>
              </a:r>
              <a:endParaRPr lang="es-BO" sz="1800"/>
            </a:p>
          </xdr:txBody>
        </xdr:sp>
      </mc:Fallback>
    </mc:AlternateContent>
    <xdr:clientData/>
  </xdr:oneCellAnchor>
  <xdr:oneCellAnchor>
    <xdr:from>
      <xdr:col>0</xdr:col>
      <xdr:colOff>342900</xdr:colOff>
      <xdr:row>39</xdr:row>
      <xdr:rowOff>42862</xdr:rowOff>
    </xdr:from>
    <xdr:ext cx="17621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A584819-E35A-4376-ABF2-3E660F06413F}"/>
                </a:ext>
              </a:extLst>
            </xdr:cNvPr>
            <xdr:cNvSpPr txBox="1"/>
          </xdr:nvSpPr>
          <xdr:spPr>
            <a:xfrm>
              <a:off x="342900" y="7405687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1=0,59514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2" name="CuadroTexto 21">
              <a:extLst>
                <a:ext uri="{FF2B5EF4-FFF2-40B4-BE49-F238E27FC236}">
                  <a16:creationId xmlns:a16="http://schemas.microsoft.com/office/drawing/2014/main" id="{3A584819-E35A-4376-ABF2-3E660F06413F}"/>
                </a:ext>
              </a:extLst>
            </xdr:cNvPr>
            <xdr:cNvSpPr txBox="1"/>
          </xdr:nvSpPr>
          <xdr:spPr>
            <a:xfrm>
              <a:off x="342900" y="7405687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𝑋1=0,59514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3</xdr:col>
      <xdr:colOff>171451</xdr:colOff>
      <xdr:row>39</xdr:row>
      <xdr:rowOff>33337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A70CB7FE-60E5-458E-991C-EA5BFAA0CC00}"/>
                </a:ext>
              </a:extLst>
            </xdr:cNvPr>
            <xdr:cNvSpPr txBox="1"/>
          </xdr:nvSpPr>
          <xdr:spPr>
            <a:xfrm>
              <a:off x="2457451" y="7396162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2=1,02542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3" name="CuadroTexto 22">
              <a:extLst>
                <a:ext uri="{FF2B5EF4-FFF2-40B4-BE49-F238E27FC236}">
                  <a16:creationId xmlns:a16="http://schemas.microsoft.com/office/drawing/2014/main" id="{A70CB7FE-60E5-458E-991C-EA5BFAA0CC00}"/>
                </a:ext>
              </a:extLst>
            </xdr:cNvPr>
            <xdr:cNvSpPr txBox="1"/>
          </xdr:nvSpPr>
          <xdr:spPr>
            <a:xfrm>
              <a:off x="2457451" y="7396162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𝑋2=1,02542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5</xdr:col>
      <xdr:colOff>676276</xdr:colOff>
      <xdr:row>39</xdr:row>
      <xdr:rowOff>0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31E2B883-5B74-4A43-8D54-F216661B3FF4}"/>
                </a:ext>
              </a:extLst>
            </xdr:cNvPr>
            <xdr:cNvSpPr txBox="1"/>
          </xdr:nvSpPr>
          <xdr:spPr>
            <a:xfrm>
              <a:off x="4486276" y="73628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3=1,00227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4" name="CuadroTexto 23">
              <a:extLst>
                <a:ext uri="{FF2B5EF4-FFF2-40B4-BE49-F238E27FC236}">
                  <a16:creationId xmlns:a16="http://schemas.microsoft.com/office/drawing/2014/main" id="{31E2B883-5B74-4A43-8D54-F216661B3FF4}"/>
                </a:ext>
              </a:extLst>
            </xdr:cNvPr>
            <xdr:cNvSpPr txBox="1"/>
          </xdr:nvSpPr>
          <xdr:spPr>
            <a:xfrm>
              <a:off x="4486276" y="73628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𝑋3=1,00227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8</xdr:col>
      <xdr:colOff>666750</xdr:colOff>
      <xdr:row>38</xdr:row>
      <xdr:rowOff>180975</xdr:rowOff>
    </xdr:from>
    <xdr:ext cx="151447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678CBDDA-F62C-49C3-AF59-398BAD8FBA7E}"/>
                </a:ext>
              </a:extLst>
            </xdr:cNvPr>
            <xdr:cNvSpPr txBox="1"/>
          </xdr:nvSpPr>
          <xdr:spPr>
            <a:xfrm>
              <a:off x="6762750" y="7353300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4=0,94067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25" name="CuadroTexto 24">
              <a:extLst>
                <a:ext uri="{FF2B5EF4-FFF2-40B4-BE49-F238E27FC236}">
                  <a16:creationId xmlns:a16="http://schemas.microsoft.com/office/drawing/2014/main" id="{678CBDDA-F62C-49C3-AF59-398BAD8FBA7E}"/>
                </a:ext>
              </a:extLst>
            </xdr:cNvPr>
            <xdr:cNvSpPr txBox="1"/>
          </xdr:nvSpPr>
          <xdr:spPr>
            <a:xfrm>
              <a:off x="6762750" y="7353300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𝑋4=0,94067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12</xdr:col>
      <xdr:colOff>276226</xdr:colOff>
      <xdr:row>39</xdr:row>
      <xdr:rowOff>9525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C95136CD-C2A2-477C-A6F8-21FFA369476A}"/>
                </a:ext>
              </a:extLst>
            </xdr:cNvPr>
            <xdr:cNvSpPr txBox="1"/>
          </xdr:nvSpPr>
          <xdr:spPr>
            <a:xfrm>
              <a:off x="9420226" y="737235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5=0,68836</m:t>
                    </m:r>
                  </m:oMath>
                </m:oMathPara>
              </a14:m>
              <a:endParaRPr lang="es-MX" sz="1800" b="0"/>
            </a:p>
          </xdr:txBody>
        </xdr:sp>
      </mc:Choice>
      <mc:Fallback xmlns="">
        <xdr:sp macro="" textlink="">
          <xdr:nvSpPr>
            <xdr:cNvPr id="26" name="CuadroTexto 25">
              <a:extLst>
                <a:ext uri="{FF2B5EF4-FFF2-40B4-BE49-F238E27FC236}">
                  <a16:creationId xmlns:a16="http://schemas.microsoft.com/office/drawing/2014/main" id="{C95136CD-C2A2-477C-A6F8-21FFA369476A}"/>
                </a:ext>
              </a:extLst>
            </xdr:cNvPr>
            <xdr:cNvSpPr txBox="1"/>
          </xdr:nvSpPr>
          <xdr:spPr>
            <a:xfrm>
              <a:off x="9420226" y="737235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𝑋5=0,68836</a:t>
              </a:r>
              <a:endParaRPr lang="es-MX" sz="1800" b="0"/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4</xdr:row>
      <xdr:rowOff>180975</xdr:rowOff>
    </xdr:from>
    <xdr:to>
      <xdr:col>8</xdr:col>
      <xdr:colOff>76200</xdr:colOff>
      <xdr:row>10</xdr:row>
      <xdr:rowOff>66675</xdr:rowOff>
    </xdr:to>
    <xdr:sp macro="" textlink="">
      <xdr:nvSpPr>
        <xdr:cNvPr id="3" name="Abrir llave 2">
          <a:extLst>
            <a:ext uri="{FF2B5EF4-FFF2-40B4-BE49-F238E27FC236}">
              <a16:creationId xmlns:a16="http://schemas.microsoft.com/office/drawing/2014/main" id="{E80D7108-F803-4082-80D7-ADEB080EF5AB}"/>
            </a:ext>
          </a:extLst>
        </xdr:cNvPr>
        <xdr:cNvSpPr/>
      </xdr:nvSpPr>
      <xdr:spPr>
        <a:xfrm>
          <a:off x="5743575" y="1238250"/>
          <a:ext cx="428625" cy="1095375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2</xdr:col>
      <xdr:colOff>504825</xdr:colOff>
      <xdr:row>3</xdr:row>
      <xdr:rowOff>247650</xdr:rowOff>
    </xdr:from>
    <xdr:to>
      <xdr:col>5</xdr:col>
      <xdr:colOff>733776</xdr:colOff>
      <xdr:row>9</xdr:row>
      <xdr:rowOff>133514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CB419B0-ED8A-4662-BB8C-60EF49478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8825" y="1038225"/>
          <a:ext cx="2514951" cy="1171739"/>
        </a:xfrm>
        <a:prstGeom prst="rect">
          <a:avLst/>
        </a:prstGeom>
      </xdr:spPr>
    </xdr:pic>
    <xdr:clientData/>
  </xdr:twoCellAnchor>
  <xdr:twoCellAnchor editAs="oneCell">
    <xdr:from>
      <xdr:col>2</xdr:col>
      <xdr:colOff>438150</xdr:colOff>
      <xdr:row>3</xdr:row>
      <xdr:rowOff>228600</xdr:rowOff>
    </xdr:from>
    <xdr:to>
      <xdr:col>5</xdr:col>
      <xdr:colOff>667101</xdr:colOff>
      <xdr:row>9</xdr:row>
      <xdr:rowOff>123989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6DF8BDF6-8DC7-4114-9A9B-18561319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62150" y="1019175"/>
          <a:ext cx="2514951" cy="1171739"/>
        </a:xfrm>
        <a:prstGeom prst="rect">
          <a:avLst/>
        </a:prstGeom>
      </xdr:spPr>
    </xdr:pic>
    <xdr:clientData/>
  </xdr:twoCellAnchor>
  <xdr:twoCellAnchor>
    <xdr:from>
      <xdr:col>15</xdr:col>
      <xdr:colOff>323850</xdr:colOff>
      <xdr:row>4</xdr:row>
      <xdr:rowOff>19050</xdr:rowOff>
    </xdr:from>
    <xdr:to>
      <xdr:col>15</xdr:col>
      <xdr:colOff>752475</xdr:colOff>
      <xdr:row>10</xdr:row>
      <xdr:rowOff>95250</xdr:rowOff>
    </xdr:to>
    <xdr:sp macro="" textlink="">
      <xdr:nvSpPr>
        <xdr:cNvPr id="11" name="Abrir llave 10">
          <a:extLst>
            <a:ext uri="{FF2B5EF4-FFF2-40B4-BE49-F238E27FC236}">
              <a16:creationId xmlns:a16="http://schemas.microsoft.com/office/drawing/2014/main" id="{04F12A5F-25C5-4B38-8420-17FBFA49D691}"/>
            </a:ext>
          </a:extLst>
        </xdr:cNvPr>
        <xdr:cNvSpPr/>
      </xdr:nvSpPr>
      <xdr:spPr>
        <a:xfrm>
          <a:off x="11753850" y="1076325"/>
          <a:ext cx="428625" cy="129540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BO" sz="1100"/>
        </a:p>
      </xdr:txBody>
    </xdr:sp>
    <xdr:clientData/>
  </xdr:twoCellAnchor>
  <xdr:twoCellAnchor editAs="oneCell">
    <xdr:from>
      <xdr:col>1</xdr:col>
      <xdr:colOff>704850</xdr:colOff>
      <xdr:row>3</xdr:row>
      <xdr:rowOff>257175</xdr:rowOff>
    </xdr:from>
    <xdr:to>
      <xdr:col>5</xdr:col>
      <xdr:colOff>724328</xdr:colOff>
      <xdr:row>13</xdr:row>
      <xdr:rowOff>9800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C759CC8-6972-4C5F-BE3A-71B481713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66850" y="1047750"/>
          <a:ext cx="3067478" cy="1800500"/>
        </a:xfrm>
        <a:prstGeom prst="rect">
          <a:avLst/>
        </a:prstGeom>
      </xdr:spPr>
    </xdr:pic>
    <xdr:clientData/>
  </xdr:twoCellAnchor>
  <xdr:oneCellAnchor>
    <xdr:from>
      <xdr:col>1</xdr:col>
      <xdr:colOff>342900</xdr:colOff>
      <xdr:row>39</xdr:row>
      <xdr:rowOff>42862</xdr:rowOff>
    </xdr:from>
    <xdr:ext cx="176212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35EC529-B3B5-45AF-9A79-7CBDC7720F03}"/>
                </a:ext>
              </a:extLst>
            </xdr:cNvPr>
            <xdr:cNvSpPr txBox="1"/>
          </xdr:nvSpPr>
          <xdr:spPr>
            <a:xfrm>
              <a:off x="342900" y="8539162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1=1,08956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35EC529-B3B5-45AF-9A79-7CBDC7720F03}"/>
                </a:ext>
              </a:extLst>
            </xdr:cNvPr>
            <xdr:cNvSpPr txBox="1"/>
          </xdr:nvSpPr>
          <xdr:spPr>
            <a:xfrm>
              <a:off x="342900" y="8539162"/>
              <a:ext cx="176212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𝑋1=1,08956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4</xdr:col>
      <xdr:colOff>171451</xdr:colOff>
      <xdr:row>39</xdr:row>
      <xdr:rowOff>33337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7696EF3A-D544-4F16-8EEB-EBB598233C65}"/>
                </a:ext>
              </a:extLst>
            </xdr:cNvPr>
            <xdr:cNvSpPr txBox="1"/>
          </xdr:nvSpPr>
          <xdr:spPr>
            <a:xfrm>
              <a:off x="2457451" y="8529637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2=1,35640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7696EF3A-D544-4F16-8EEB-EBB598233C65}"/>
                </a:ext>
              </a:extLst>
            </xdr:cNvPr>
            <xdr:cNvSpPr txBox="1"/>
          </xdr:nvSpPr>
          <xdr:spPr>
            <a:xfrm>
              <a:off x="2457451" y="8529637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𝑋2=1,35640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6</xdr:col>
      <xdr:colOff>676276</xdr:colOff>
      <xdr:row>39</xdr:row>
      <xdr:rowOff>0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8101363-4625-42A4-85AC-28DB422A06B5}"/>
                </a:ext>
              </a:extLst>
            </xdr:cNvPr>
            <xdr:cNvSpPr txBox="1"/>
          </xdr:nvSpPr>
          <xdr:spPr>
            <a:xfrm>
              <a:off x="4486276" y="849630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3=1,18371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5" name="CuadroTexto 14">
              <a:extLst>
                <a:ext uri="{FF2B5EF4-FFF2-40B4-BE49-F238E27FC236}">
                  <a16:creationId xmlns:a16="http://schemas.microsoft.com/office/drawing/2014/main" id="{F8101363-4625-42A4-85AC-28DB422A06B5}"/>
                </a:ext>
              </a:extLst>
            </xdr:cNvPr>
            <xdr:cNvSpPr txBox="1"/>
          </xdr:nvSpPr>
          <xdr:spPr>
            <a:xfrm>
              <a:off x="4486276" y="8496300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𝑋3=1,18371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9</xdr:col>
      <xdr:colOff>666750</xdr:colOff>
      <xdr:row>38</xdr:row>
      <xdr:rowOff>180975</xdr:rowOff>
    </xdr:from>
    <xdr:ext cx="1514475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3A83921-DF26-49A1-85ED-668D29444015}"/>
                </a:ext>
              </a:extLst>
            </xdr:cNvPr>
            <xdr:cNvSpPr txBox="1"/>
          </xdr:nvSpPr>
          <xdr:spPr>
            <a:xfrm>
              <a:off x="6762750" y="8486775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4=1,01706</m:t>
                    </m:r>
                  </m:oMath>
                </m:oMathPara>
              </a14:m>
              <a:endParaRPr lang="es-MX" sz="1800" b="0"/>
            </a:p>
            <a:p>
              <a:endParaRPr lang="es-MX" sz="1800" b="0"/>
            </a:p>
          </xdr:txBody>
        </xdr:sp>
      </mc:Choice>
      <mc:Fallback xmlns="">
        <xdr:sp macro="" textlink="">
          <xdr:nvSpPr>
            <xdr:cNvPr id="16" name="CuadroTexto 15">
              <a:extLst>
                <a:ext uri="{FF2B5EF4-FFF2-40B4-BE49-F238E27FC236}">
                  <a16:creationId xmlns:a16="http://schemas.microsoft.com/office/drawing/2014/main" id="{23A83921-DF26-49A1-85ED-668D29444015}"/>
                </a:ext>
              </a:extLst>
            </xdr:cNvPr>
            <xdr:cNvSpPr txBox="1"/>
          </xdr:nvSpPr>
          <xdr:spPr>
            <a:xfrm>
              <a:off x="6762750" y="8486775"/>
              <a:ext cx="1514475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𝑋4=1,01706</a:t>
              </a:r>
              <a:endParaRPr lang="es-MX" sz="1800" b="0"/>
            </a:p>
            <a:p>
              <a:endParaRPr lang="es-MX" sz="1800" b="0"/>
            </a:p>
          </xdr:txBody>
        </xdr:sp>
      </mc:Fallback>
    </mc:AlternateContent>
    <xdr:clientData/>
  </xdr:oneCellAnchor>
  <xdr:oneCellAnchor>
    <xdr:from>
      <xdr:col>13</xdr:col>
      <xdr:colOff>276226</xdr:colOff>
      <xdr:row>38</xdr:row>
      <xdr:rowOff>110378</xdr:rowOff>
    </xdr:from>
    <xdr:ext cx="1504950" cy="35718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F69BFB-1DAB-43FD-9C2B-562DB5028FC7}"/>
                </a:ext>
              </a:extLst>
            </xdr:cNvPr>
            <xdr:cNvSpPr txBox="1"/>
          </xdr:nvSpPr>
          <xdr:spPr>
            <a:xfrm>
              <a:off x="10182226" y="83915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MX" sz="1800" b="0" i="1">
                        <a:latin typeface="Cambria Math" panose="02040503050406030204" pitchFamily="18" charset="0"/>
                      </a:rPr>
                      <m:t>𝑋</m:t>
                    </m:r>
                    <m:r>
                      <a:rPr lang="es-MX" sz="1800" b="0" i="1">
                        <a:latin typeface="Cambria Math" panose="02040503050406030204" pitchFamily="18" charset="0"/>
                      </a:rPr>
                      <m:t>5=0,72199</m:t>
                    </m:r>
                  </m:oMath>
                </m:oMathPara>
              </a14:m>
              <a:endParaRPr lang="es-MX" sz="1800" b="0"/>
            </a:p>
          </xdr:txBody>
        </xdr:sp>
      </mc:Choice>
      <mc:Fallback xmlns="">
        <xdr:sp macro="" textlink="">
          <xdr:nvSpPr>
            <xdr:cNvPr id="17" name="CuadroTexto 16">
              <a:extLst>
                <a:ext uri="{FF2B5EF4-FFF2-40B4-BE49-F238E27FC236}">
                  <a16:creationId xmlns:a16="http://schemas.microsoft.com/office/drawing/2014/main" id="{52F69BFB-1DAB-43FD-9C2B-562DB5028FC7}"/>
                </a:ext>
              </a:extLst>
            </xdr:cNvPr>
            <xdr:cNvSpPr txBox="1"/>
          </xdr:nvSpPr>
          <xdr:spPr>
            <a:xfrm>
              <a:off x="10182226" y="8391525"/>
              <a:ext cx="1504950" cy="35718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MX" sz="1800" b="0" i="0">
                  <a:latin typeface="Cambria Math" panose="02040503050406030204" pitchFamily="18" charset="0"/>
                </a:rPr>
                <a:t>𝑋5=0,72199</a:t>
              </a:r>
              <a:endParaRPr lang="es-MX" sz="1800" b="0"/>
            </a:p>
          </xdr:txBody>
        </xdr:sp>
      </mc:Fallback>
    </mc:AlternateContent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07083E-4AF7-47D2-A6B6-02A6740FCF4D}" name="Tabla1" displayName="Tabla1" ref="B19:H31" totalsRowShown="0" headerRowDxfId="43" dataDxfId="42">
  <autoFilter ref="B19:H31" xr:uid="{2207083E-4AF7-47D2-A6B6-02A6740FCF4D}"/>
  <tableColumns count="7">
    <tableColumn id="1" xr3:uid="{59267FAE-D70A-4F68-B943-AB6BA6B2D341}" name="Iteración" dataDxfId="41"/>
    <tableColumn id="2" xr3:uid="{850E9D58-AA41-4A2F-A6F3-A89F67A0B033}" name="X1" dataDxfId="40"/>
    <tableColumn id="3" xr3:uid="{EA5C1F2E-F203-43FC-B7B4-BDA11B4F94A4}" name="X2" dataDxfId="39"/>
    <tableColumn id="4" xr3:uid="{3E467E1C-D87B-448D-9B68-6D90694263FE}" name="X3" dataDxfId="38"/>
    <tableColumn id="5" xr3:uid="{DEB59882-3AF3-4514-84B5-BD04B54ED3F8}" name="X4" dataDxfId="37"/>
    <tableColumn id="7" xr3:uid="{E0289DE5-4929-4942-955B-4019646F4D92}" name="X5" dataDxfId="36"/>
    <tableColumn id="6" xr3:uid="{705F5CF8-A811-470D-BDF7-AEA11872DBA7}" name="Error" dataDxfId="35">
      <calculatedColumnFormula>MAX(ABS(C20-C19),ABS(D20-D19),ABS(E20-E19))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B1730-7706-44AD-9272-C9AB81DF0169}" name="Tabla13" displayName="Tabla13" ref="B23:H35" totalsRowShown="0" headerRowDxfId="34" dataDxfId="33">
  <autoFilter ref="B23:H35" xr:uid="{2207083E-4AF7-47D2-A6B6-02A6740FCF4D}"/>
  <tableColumns count="7">
    <tableColumn id="1" xr3:uid="{2E7AA3C8-5B74-48E8-A8A3-996CB43E5060}" name="Iteración" dataDxfId="32"/>
    <tableColumn id="2" xr3:uid="{39188161-3A7B-4474-AF81-F6874BE9951B}" name="X1" dataDxfId="31"/>
    <tableColumn id="3" xr3:uid="{6B1B9D9E-3336-4CE2-B8E9-862F54A8135F}" name="X2" dataDxfId="30"/>
    <tableColumn id="4" xr3:uid="{F6F1CC23-89EB-4BC8-86D9-05E687442163}" name="X3" dataDxfId="29"/>
    <tableColumn id="5" xr3:uid="{FB272B3E-89EF-4447-AC34-90048D42CDD0}" name="X4" dataDxfId="28"/>
    <tableColumn id="7" xr3:uid="{E445A8D6-0895-49AF-9FA4-87FAB59577E1}" name="X5" dataDxfId="27"/>
    <tableColumn id="6" xr3:uid="{84D94325-6E12-4E3B-9AD2-6A28A35AAD77}" name="Error" dataDxfId="26">
      <calculatedColumnFormula>MAX(ABS(C24-C23),ABS(D24-D23),ABS(E24-E23))</calculatedColumnFormula>
    </tableColumn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EEEE73-E2B2-49AF-9EE2-A5236BDE9696}" name="Tabla134" displayName="Tabla134" ref="B23:Y35" totalsRowShown="0" headerRowDxfId="25" dataDxfId="24">
  <autoFilter ref="B23:Y35" xr:uid="{2207083E-4AF7-47D2-A6B6-02A6740FCF4D}"/>
  <tableColumns count="24">
    <tableColumn id="1" xr3:uid="{99D4DAAF-2E9D-4310-B833-F7F9FBB67053}" name="Iteración" dataDxfId="23"/>
    <tableColumn id="2" xr3:uid="{370BB7EC-EEE4-4BEF-A5C6-0E3A985B75F4}" name="X1" dataDxfId="22"/>
    <tableColumn id="3" xr3:uid="{A37CF500-2E50-41EA-A5AD-48F966EB272D}" name="X2" dataDxfId="21"/>
    <tableColumn id="4" xr3:uid="{7416C3AE-639E-4A76-9077-8F511D5ECA3C}" name="X3" dataDxfId="20"/>
    <tableColumn id="5" xr3:uid="{9C9B11F3-01FD-44D2-B350-88B389B185F4}" name="X4" dataDxfId="19"/>
    <tableColumn id="18" xr3:uid="{87E6DEF3-3EF7-4EBC-A63B-674BC0156620}" name="X5" dataDxfId="18"/>
    <tableColumn id="6" xr3:uid="{9FCC4EAA-8E6B-447A-BC09-7BF8063E67FF}" name="r1" dataDxfId="17">
      <calculatedColumnFormula>15-(10*Tabla134[[#This Row],[X1]]+2*Tabla134[[#This Row],[X2]]+3*Tabla134[[#This Row],[X3]])</calculatedColumnFormula>
    </tableColumn>
    <tableColumn id="7" xr3:uid="{4D562936-7AC1-4F6E-9C8C-20EFC6B2AA6A}" name="r2" dataDxfId="16">
      <calculatedColumnFormula>13-(2*Tabla134[[#This Row],[X1]]+10*Tabla134[[#This Row],[X2]]+Tabla134[[#This Row],[X3]])</calculatedColumnFormula>
    </tableColumn>
    <tableColumn id="8" xr3:uid="{4AC0550C-E64F-47D9-B781-9C99EEC58DF0}" name="r3" dataDxfId="15">
      <calculatedColumnFormula>14-(3*Tabla134[[#This Row],[X1]]+Tabla134[[#This Row],[X2]]+10*Tabla134[[#This Row],[X3]])</calculatedColumnFormula>
    </tableColumn>
    <tableColumn id="19" xr3:uid="{F84AFA0B-F996-44E8-B072-ABA61D4CCD0D}" name="r4" dataDxfId="14">
      <calculatedColumnFormula>5-(-Tabla134[[#This Row],[X2]]-2*Tabla134[[#This Row],[X3]]+10*Tabla134[[#This Row],[X4]]-2*Tabla134[[#This Row],[X5]])</calculatedColumnFormula>
    </tableColumn>
    <tableColumn id="20" xr3:uid="{AFEAF5BE-E2DC-4B8C-90BD-62B74359E0A6}" name="r5" dataDxfId="13">
      <calculatedColumnFormula>L23-V23*X23</calculatedColumnFormula>
    </tableColumn>
    <tableColumn id="9" xr3:uid="{4055EF1D-27CA-462D-A60A-6B852AF45453}" name="p1" dataDxfId="12">
      <calculatedColumnFormula>Tabla134[[#This Row],[r1]]</calculatedColumnFormula>
    </tableColumn>
    <tableColumn id="10" xr3:uid="{2546B08D-3020-4AF4-AEFD-CEDFA320CCE0}" name="p2" dataDxfId="11">
      <calculatedColumnFormula>Tabla134[[#This Row],[r2]]</calculatedColumnFormula>
    </tableColumn>
    <tableColumn id="11" xr3:uid="{69ACB0B3-2282-4313-8A66-AA5BF2D1435B}" name="p3" dataDxfId="10">
      <calculatedColumnFormula>Tabla134[[#This Row],[r3]]</calculatedColumnFormula>
    </tableColumn>
    <tableColumn id="22" xr3:uid="{F783DA02-99C1-4BF9-8229-3E170EB1DBF1}" name="p4" dataDxfId="9">
      <calculatedColumnFormula>Tabla134[[#This Row],[r4]]</calculatedColumnFormula>
    </tableColumn>
    <tableColumn id="23" xr3:uid="{699C5CBD-D37E-4F87-AF67-0D5F23BB2C9D}" name="p5" dataDxfId="8">
      <calculatedColumnFormula>Tabla134[[#This Row],[r5]]</calculatedColumnFormula>
    </tableColumn>
    <tableColumn id="12" xr3:uid="{9398072E-2B1C-4AF0-A3D0-62CBED7F0502}" name="Ap1" dataDxfId="7">
      <calculatedColumnFormula>10*Tabla134[[#This Row],[p1]]-2*Tabla134[[#This Row],[p2]]-1*Tabla134[[#This Row],[p3]]+0*Tabla134[[#This Row],[p4]]+0*Tabla134[[#This Row],[p5]]</calculatedColumnFormula>
    </tableColumn>
    <tableColumn id="13" xr3:uid="{5A198F27-D049-4976-98DF-803048EE94DD}" name="Ap2" dataDxfId="6">
      <calculatedColumnFormula>-2*Tabla134[[#This Row],[p1]]+10*Tabla134[[#This Row],[p2]]-2*Tabla134[[#This Row],[p3]]-1*Tabla134[[#This Row],[p4]]+0*Tabla134[[#This Row],[p5]]</calculatedColumnFormula>
    </tableColumn>
    <tableColumn id="14" xr3:uid="{224FD516-EEB6-4614-98AD-C7DC066757C9}" name="Ap3" dataDxfId="5">
      <calculatedColumnFormula>-1*Tabla134[[#This Row],[p1]]-2*Tabla134[[#This Row],[p2]]+10*Tabla134[[#This Row],[p3]]-2*Tabla134[[#This Row],[p4]]+0*Tabla134[[#This Row],[p5]]</calculatedColumnFormula>
    </tableColumn>
    <tableColumn id="24" xr3:uid="{F6A0D0EF-A5BF-4A34-B6F8-358F30467C89}" name="Ap4" dataDxfId="4">
      <calculatedColumnFormula>0*Tabla134[[#This Row],[p1]]-1*Tabla134[[#This Row],[p2]]-2*Tabla134[[#This Row],[p3]]+10*Tabla134[[#This Row],[p4]]-2*Tabla134[[#This Row],[p5]]</calculatedColumnFormula>
    </tableColumn>
    <tableColumn id="25" xr3:uid="{042CE214-F9BF-4DD8-9E3E-AD685E6AF18E}" name="Ap5" dataDxfId="3">
      <calculatedColumnFormula>0*Tabla134[[#This Row],[p1]]+0*Tabla134[[#This Row],[p2]]-1*Tabla134[[#This Row],[p3]]-2*Tabla134[[#This Row],[p4]]+10*Tabla134[[#This Row],[p5]]</calculatedColumnFormula>
    </tableColumn>
    <tableColumn id="15" xr3:uid="{D94D64A9-AC30-4B9F-9FDF-07D849B1014A}" name="rTr" dataDxfId="2">
      <calculatedColumnFormula>SUMPRODUCT(H24:L24,H24:L24)</calculatedColumnFormula>
    </tableColumn>
    <tableColumn id="16" xr3:uid="{7A81D2BC-E08F-4872-A617-42C6E6CD7171}" name="Alpha" dataDxfId="1">
      <calculatedColumnFormula>Tabla134[[#This Row],[rTr]]/(Tabla134[[#This Row],[p1]]*Tabla134[[#This Row],[Ap1]] + Tabla134[[#This Row],[p2]]*Tabla134[[#This Row],[Ap2]] + Tabla134[[#This Row],[p3]]*Tabla134[[#This Row],[Ap3]])</calculatedColumnFormula>
    </tableColumn>
    <tableColumn id="17" xr3:uid="{4F075344-212D-4DD1-BFCA-53E31DE8526F}" name="Beta" dataDxfId="0">
      <calculatedColumnFormula>Tabla134[[#This Row],[rTr]]/W23</calculatedColumnFormula>
    </tableColumn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85B9-6F11-4A3E-AF5D-D90EFA6C4155}">
  <sheetPr>
    <tabColor rgb="FF7030A0"/>
  </sheetPr>
  <dimension ref="A2:R70"/>
  <sheetViews>
    <sheetView topLeftCell="A3" zoomScale="70" zoomScaleNormal="70" workbookViewId="0">
      <selection activeCell="S31" sqref="S31"/>
    </sheetView>
  </sheetViews>
  <sheetFormatPr baseColWidth="10" defaultRowHeight="15" x14ac:dyDescent="0.25"/>
  <cols>
    <col min="9" max="13" width="12.5703125" bestFit="1" customWidth="1"/>
  </cols>
  <sheetData>
    <row r="2" spans="1:18" ht="31.5" x14ac:dyDescent="0.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8" ht="15.75" thickBot="1" x14ac:dyDescent="0.3"/>
    <row r="4" spans="1:18" ht="21" x14ac:dyDescent="0.35">
      <c r="A4" s="42" t="s">
        <v>1</v>
      </c>
      <c r="B4" s="43"/>
      <c r="C4" s="43"/>
      <c r="D4" s="43"/>
      <c r="E4" s="2"/>
      <c r="F4" s="3"/>
      <c r="H4" s="44" t="s">
        <v>5</v>
      </c>
      <c r="I4" s="45"/>
      <c r="J4" s="45"/>
      <c r="K4" s="45"/>
      <c r="L4" s="45"/>
      <c r="M4" s="45"/>
      <c r="N4" s="45"/>
      <c r="O4" s="45"/>
      <c r="P4" s="45"/>
      <c r="Q4" s="45"/>
      <c r="R4" s="3"/>
    </row>
    <row r="5" spans="1:18" ht="18.75" x14ac:dyDescent="0.3">
      <c r="A5" s="4"/>
      <c r="F5" s="5"/>
      <c r="H5" s="4"/>
      <c r="I5" s="19" t="s">
        <v>28</v>
      </c>
      <c r="J5" s="19" t="s">
        <v>29</v>
      </c>
      <c r="K5" s="26" t="s">
        <v>30</v>
      </c>
      <c r="L5" s="32" t="s">
        <v>31</v>
      </c>
      <c r="M5" s="28" t="s">
        <v>32</v>
      </c>
      <c r="Q5" s="19" t="s">
        <v>3</v>
      </c>
      <c r="R5" s="5"/>
    </row>
    <row r="6" spans="1:18" x14ac:dyDescent="0.25">
      <c r="A6" s="4"/>
      <c r="F6" s="5"/>
      <c r="H6" s="4"/>
      <c r="I6" s="11">
        <v>10</v>
      </c>
      <c r="J6" s="11">
        <v>-2</v>
      </c>
      <c r="K6" s="27">
        <v>-1</v>
      </c>
      <c r="L6" s="11">
        <v>0</v>
      </c>
      <c r="M6" s="31">
        <v>0</v>
      </c>
      <c r="Q6" s="11">
        <v>7</v>
      </c>
      <c r="R6" s="5"/>
    </row>
    <row r="7" spans="1:18" ht="15.75" x14ac:dyDescent="0.25">
      <c r="A7" s="4"/>
      <c r="F7" s="5"/>
      <c r="H7" s="10"/>
      <c r="I7" s="11">
        <v>-2</v>
      </c>
      <c r="J7" s="11">
        <v>10</v>
      </c>
      <c r="K7" s="27">
        <v>-2</v>
      </c>
      <c r="L7" s="33">
        <v>-1</v>
      </c>
      <c r="M7" s="25">
        <v>0</v>
      </c>
      <c r="O7" s="49" t="s">
        <v>4</v>
      </c>
      <c r="P7" s="9"/>
      <c r="Q7" s="11">
        <v>8</v>
      </c>
      <c r="R7" s="5"/>
    </row>
    <row r="8" spans="1:18" ht="15.75" x14ac:dyDescent="0.25">
      <c r="A8" s="4"/>
      <c r="F8" s="5"/>
      <c r="H8" s="10" t="s">
        <v>2</v>
      </c>
      <c r="I8" s="21">
        <v>-1</v>
      </c>
      <c r="J8" s="21">
        <v>-2</v>
      </c>
      <c r="K8" s="22">
        <v>10</v>
      </c>
      <c r="L8" s="34">
        <v>-2</v>
      </c>
      <c r="M8" s="29">
        <v>-1</v>
      </c>
      <c r="O8" s="49"/>
      <c r="Q8" s="11">
        <v>6</v>
      </c>
      <c r="R8" s="5"/>
    </row>
    <row r="9" spans="1:18" x14ac:dyDescent="0.25">
      <c r="A9" s="4"/>
      <c r="F9" s="5"/>
      <c r="H9" s="4"/>
      <c r="I9" s="27">
        <v>0</v>
      </c>
      <c r="J9" s="11">
        <v>-1</v>
      </c>
      <c r="K9" s="30">
        <v>-2</v>
      </c>
      <c r="L9" s="11">
        <v>10</v>
      </c>
      <c r="M9" s="31">
        <v>-2</v>
      </c>
      <c r="Q9" s="11">
        <v>5</v>
      </c>
      <c r="R9" s="5"/>
    </row>
    <row r="10" spans="1:18" x14ac:dyDescent="0.25">
      <c r="A10" s="4"/>
      <c r="F10" s="5"/>
      <c r="H10" s="4"/>
      <c r="I10" s="23">
        <v>0</v>
      </c>
      <c r="J10" s="33">
        <v>0</v>
      </c>
      <c r="K10" s="24">
        <v>-1</v>
      </c>
      <c r="L10" s="33">
        <v>-2</v>
      </c>
      <c r="M10" s="25">
        <v>10</v>
      </c>
      <c r="Q10" s="11">
        <v>4</v>
      </c>
      <c r="R10" s="5"/>
    </row>
    <row r="11" spans="1:18" x14ac:dyDescent="0.25">
      <c r="A11" s="4"/>
      <c r="F11" s="5"/>
      <c r="H11" s="4"/>
      <c r="R11" s="5"/>
    </row>
    <row r="12" spans="1:18" x14ac:dyDescent="0.25">
      <c r="A12" s="4"/>
      <c r="F12" s="5"/>
      <c r="H12" s="4"/>
      <c r="R12" s="5"/>
    </row>
    <row r="13" spans="1:18" x14ac:dyDescent="0.25">
      <c r="A13" s="4"/>
      <c r="F13" s="5"/>
      <c r="H13" s="4"/>
      <c r="R13" s="5"/>
    </row>
    <row r="14" spans="1:18" ht="15.75" thickBot="1" x14ac:dyDescent="0.3">
      <c r="A14" s="6"/>
      <c r="B14" s="7"/>
      <c r="C14" s="7"/>
      <c r="D14" s="7"/>
      <c r="E14" s="7"/>
      <c r="F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8"/>
    </row>
    <row r="17" spans="1:18" ht="36" x14ac:dyDescent="0.55000000000000004">
      <c r="A17" s="46" t="s">
        <v>38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</row>
    <row r="18" spans="1:18" x14ac:dyDescent="0.25">
      <c r="A18" s="50" t="s">
        <v>39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1:18" ht="18.75" customHeight="1" x14ac:dyDescent="0.25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1" spans="1:18" x14ac:dyDescent="0.25">
      <c r="B21" s="51" t="s">
        <v>40</v>
      </c>
      <c r="C21" s="51"/>
      <c r="D21" s="51"/>
      <c r="E21" s="51"/>
      <c r="F21" s="51"/>
      <c r="I21" s="39" t="s">
        <v>41</v>
      </c>
      <c r="J21" s="39"/>
      <c r="K21" s="39"/>
      <c r="L21" s="39"/>
      <c r="M21" s="39"/>
    </row>
    <row r="22" spans="1:18" x14ac:dyDescent="0.25">
      <c r="B22" s="11">
        <v>10</v>
      </c>
      <c r="C22" s="11">
        <v>-2</v>
      </c>
      <c r="D22" s="27">
        <v>-1</v>
      </c>
      <c r="E22" s="11">
        <v>0</v>
      </c>
      <c r="F22" s="31">
        <v>0</v>
      </c>
      <c r="I22" s="35" cm="1">
        <f t="array" ref="I22:M26">MINVERSE(B22:F26)</f>
        <v>0.10684657797561839</v>
      </c>
      <c r="J22" s="35">
        <v>2.5519753148869444E-2</v>
      </c>
      <c r="K22" s="35">
        <v>1.7426273458445034E-2</v>
      </c>
      <c r="L22" s="35">
        <v>6.6518286205675559E-3</v>
      </c>
      <c r="M22" s="35">
        <v>3.0729930699580151E-3</v>
      </c>
    </row>
    <row r="23" spans="1:18" x14ac:dyDescent="0.25">
      <c r="B23" s="11">
        <v>-2</v>
      </c>
      <c r="C23" s="11">
        <v>10</v>
      </c>
      <c r="D23" s="27">
        <v>-2</v>
      </c>
      <c r="E23" s="33">
        <v>-1</v>
      </c>
      <c r="F23" s="25">
        <v>0</v>
      </c>
      <c r="I23" s="35">
        <v>2.5519753148869444E-2</v>
      </c>
      <c r="J23" s="35">
        <v>0.11285345743335526</v>
      </c>
      <c r="K23" s="35">
        <v>2.949061662198391E-2</v>
      </c>
      <c r="L23" s="35">
        <v>1.8513834791845821E-2</v>
      </c>
      <c r="M23" s="35">
        <v>6.6518286205675559E-3</v>
      </c>
    </row>
    <row r="24" spans="1:18" x14ac:dyDescent="0.25">
      <c r="B24" s="21">
        <v>-1</v>
      </c>
      <c r="C24" s="21">
        <v>-2</v>
      </c>
      <c r="D24" s="22">
        <v>10</v>
      </c>
      <c r="E24" s="34">
        <v>-2</v>
      </c>
      <c r="F24" s="29">
        <v>-1</v>
      </c>
      <c r="I24" s="35">
        <v>1.7426273458445038E-2</v>
      </c>
      <c r="J24" s="35">
        <v>2.9490616621983913E-2</v>
      </c>
      <c r="K24" s="35">
        <v>0.11528150134048254</v>
      </c>
      <c r="L24" s="35">
        <v>2.9490616621983913E-2</v>
      </c>
      <c r="M24" s="35">
        <v>1.7426273458445038E-2</v>
      </c>
    </row>
    <row r="25" spans="1:18" x14ac:dyDescent="0.25">
      <c r="B25" s="27">
        <v>0</v>
      </c>
      <c r="C25" s="11">
        <v>-1</v>
      </c>
      <c r="D25" s="30">
        <v>-2</v>
      </c>
      <c r="E25" s="11">
        <v>10</v>
      </c>
      <c r="F25" s="31">
        <v>-2</v>
      </c>
      <c r="I25" s="35">
        <v>6.6518286205675551E-3</v>
      </c>
      <c r="J25" s="35">
        <v>1.8513834791845818E-2</v>
      </c>
      <c r="K25" s="35">
        <v>2.9490616621983913E-2</v>
      </c>
      <c r="L25" s="35">
        <v>0.11285345743335526</v>
      </c>
      <c r="M25" s="35">
        <v>2.551975314886944E-2</v>
      </c>
    </row>
    <row r="26" spans="1:18" x14ac:dyDescent="0.25">
      <c r="B26" s="23">
        <v>0</v>
      </c>
      <c r="C26" s="33">
        <v>0</v>
      </c>
      <c r="D26" s="24">
        <v>-1</v>
      </c>
      <c r="E26" s="33">
        <v>-2</v>
      </c>
      <c r="F26" s="25">
        <v>10</v>
      </c>
      <c r="I26" s="35">
        <v>3.0729930699580151E-3</v>
      </c>
      <c r="J26" s="35">
        <v>6.6518286205675551E-3</v>
      </c>
      <c r="K26" s="35">
        <v>1.7426273458445041E-2</v>
      </c>
      <c r="L26" s="35">
        <v>2.5519753148869444E-2</v>
      </c>
      <c r="M26" s="35">
        <v>0.10684657797561839</v>
      </c>
    </row>
    <row r="28" spans="1:18" x14ac:dyDescent="0.25">
      <c r="A28" s="38" t="s">
        <v>42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</row>
    <row r="29" spans="1:18" x14ac:dyDescent="0.25">
      <c r="A29" s="38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</row>
    <row r="31" spans="1:18" x14ac:dyDescent="0.25">
      <c r="B31" s="39" t="s">
        <v>41</v>
      </c>
      <c r="C31" s="39"/>
      <c r="D31" s="39"/>
      <c r="E31" s="39"/>
      <c r="F31" s="39"/>
      <c r="I31" s="40" t="s">
        <v>43</v>
      </c>
      <c r="J31" s="40"/>
      <c r="K31" s="40"/>
      <c r="L31" s="40"/>
      <c r="M31" s="40"/>
    </row>
    <row r="32" spans="1:18" x14ac:dyDescent="0.25">
      <c r="B32" s="11">
        <v>0.10684657797561839</v>
      </c>
      <c r="C32" s="11">
        <v>2.5519753148869444E-2</v>
      </c>
      <c r="D32" s="11">
        <v>1.7426273458445034E-2</v>
      </c>
      <c r="E32" s="11">
        <v>6.6518286205675559E-3</v>
      </c>
      <c r="F32" s="11">
        <v>3.0729930699580151E-3</v>
      </c>
      <c r="J32" s="29"/>
      <c r="K32" s="11">
        <v>7</v>
      </c>
    </row>
    <row r="33" spans="1:18" x14ac:dyDescent="0.25">
      <c r="B33" s="11">
        <v>2.5519753148869444E-2</v>
      </c>
      <c r="C33" s="11">
        <v>0.11285345743335526</v>
      </c>
      <c r="D33" s="11">
        <v>2.949061662198391E-2</v>
      </c>
      <c r="E33" s="11">
        <v>1.8513834791845821E-2</v>
      </c>
      <c r="F33" s="11">
        <v>6.6518286205675559E-3</v>
      </c>
      <c r="J33" s="29"/>
      <c r="K33" s="11">
        <v>8</v>
      </c>
    </row>
    <row r="34" spans="1:18" x14ac:dyDescent="0.25">
      <c r="B34" s="11">
        <v>1.7426273458445038E-2</v>
      </c>
      <c r="C34" s="11">
        <v>2.9490616621983913E-2</v>
      </c>
      <c r="D34" s="11">
        <v>0.11528150134048254</v>
      </c>
      <c r="E34" s="11">
        <v>2.9490616621983913E-2</v>
      </c>
      <c r="F34" s="11">
        <v>1.7426273458445038E-2</v>
      </c>
      <c r="K34" s="11">
        <v>6</v>
      </c>
    </row>
    <row r="35" spans="1:18" x14ac:dyDescent="0.25">
      <c r="B35" s="11">
        <v>6.6518286205675551E-3</v>
      </c>
      <c r="C35" s="11">
        <v>1.8513834791845818E-2</v>
      </c>
      <c r="D35" s="11">
        <v>2.9490616621983913E-2</v>
      </c>
      <c r="E35" s="11">
        <v>0.11285345743335526</v>
      </c>
      <c r="F35" s="11">
        <v>2.551975314886944E-2</v>
      </c>
      <c r="K35" s="11">
        <v>5</v>
      </c>
    </row>
    <row r="36" spans="1:18" x14ac:dyDescent="0.25">
      <c r="B36" s="11">
        <v>3.0729930699580151E-3</v>
      </c>
      <c r="C36" s="11">
        <v>6.6518286205675551E-3</v>
      </c>
      <c r="D36" s="11">
        <v>1.7426273458445041E-2</v>
      </c>
      <c r="E36" s="11">
        <v>2.5519753148869444E-2</v>
      </c>
      <c r="F36" s="11">
        <v>0.10684657797561839</v>
      </c>
      <c r="K36" s="11">
        <v>4</v>
      </c>
    </row>
    <row r="38" spans="1:18" x14ac:dyDescent="0.25">
      <c r="A38" s="38" t="s">
        <v>44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</row>
    <row r="39" spans="1:18" x14ac:dyDescent="0.25">
      <c r="A39" s="38"/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</row>
    <row r="40" spans="1:18" x14ac:dyDescent="0.25">
      <c r="H40" s="40" t="s">
        <v>45</v>
      </c>
      <c r="I40" s="40"/>
      <c r="J40" s="40"/>
      <c r="K40" s="40"/>
      <c r="L40" s="40"/>
    </row>
    <row r="41" spans="1:18" x14ac:dyDescent="0.25">
      <c r="J41" s="36" cm="1">
        <f t="array" ref="J41:J45">MMULT(B32:F36,K32:K36)</f>
        <v>1.1021928271536243</v>
      </c>
    </row>
    <row r="42" spans="1:18" x14ac:dyDescent="0.25">
      <c r="J42" s="36">
        <v>1.3775861196823309</v>
      </c>
    </row>
    <row r="43" spans="1:18" x14ac:dyDescent="0.25">
      <c r="J43" s="36">
        <v>1.2667560321715814</v>
      </c>
    </row>
    <row r="44" spans="1:18" x14ac:dyDescent="0.25">
      <c r="J44" s="36">
        <v>1.037963478172897</v>
      </c>
    </row>
    <row r="45" spans="1:18" x14ac:dyDescent="0.25">
      <c r="J45" s="36">
        <v>0.73426829885173761</v>
      </c>
    </row>
    <row r="47" spans="1:18" x14ac:dyDescent="0.25">
      <c r="A47" s="38" t="s">
        <v>46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</row>
    <row r="48" spans="1:18" x14ac:dyDescent="0.25">
      <c r="A48" s="38"/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</row>
    <row r="70" spans="1:17" ht="18.75" x14ac:dyDescent="0.3">
      <c r="A70" s="47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</row>
  </sheetData>
  <mergeCells count="15">
    <mergeCell ref="A70:Q70"/>
    <mergeCell ref="O7:O8"/>
    <mergeCell ref="A18:R19"/>
    <mergeCell ref="B21:F21"/>
    <mergeCell ref="I21:M21"/>
    <mergeCell ref="A2:Q2"/>
    <mergeCell ref="A4:D4"/>
    <mergeCell ref="H4:Q4"/>
    <mergeCell ref="A17:Q17"/>
    <mergeCell ref="A47:Q48"/>
    <mergeCell ref="A28:R29"/>
    <mergeCell ref="B31:F31"/>
    <mergeCell ref="I31:M31"/>
    <mergeCell ref="A38:R39"/>
    <mergeCell ref="H40:L40"/>
  </mergeCells>
  <phoneticPr fontId="17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1B05-8A38-4B43-88E9-75B104AFE2BC}">
  <sheetPr>
    <tabColor theme="9"/>
  </sheetPr>
  <dimension ref="A2:R38"/>
  <sheetViews>
    <sheetView zoomScale="85" zoomScaleNormal="85" workbookViewId="0">
      <selection activeCell="K25" sqref="K25"/>
    </sheetView>
  </sheetViews>
  <sheetFormatPr baseColWidth="10" defaultRowHeight="15" x14ac:dyDescent="0.25"/>
  <sheetData>
    <row r="2" spans="1:18" ht="31.5" x14ac:dyDescent="0.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8" ht="15.75" thickBot="1" x14ac:dyDescent="0.3"/>
    <row r="4" spans="1:18" ht="21" x14ac:dyDescent="0.35">
      <c r="A4" s="42" t="s">
        <v>1</v>
      </c>
      <c r="B4" s="43"/>
      <c r="C4" s="43"/>
      <c r="D4" s="43"/>
      <c r="E4" s="2"/>
      <c r="F4" s="3"/>
      <c r="H4" s="44" t="s">
        <v>5</v>
      </c>
      <c r="I4" s="45"/>
      <c r="J4" s="45"/>
      <c r="K4" s="45"/>
      <c r="L4" s="45"/>
      <c r="M4" s="45"/>
      <c r="N4" s="45"/>
      <c r="O4" s="45"/>
      <c r="P4" s="45"/>
      <c r="Q4" s="45"/>
      <c r="R4" s="3"/>
    </row>
    <row r="5" spans="1:18" ht="18.75" x14ac:dyDescent="0.3">
      <c r="A5" s="4"/>
      <c r="F5" s="5"/>
      <c r="H5" s="4"/>
      <c r="I5" s="19" t="s">
        <v>28</v>
      </c>
      <c r="J5" s="19" t="s">
        <v>29</v>
      </c>
      <c r="K5" s="26" t="s">
        <v>30</v>
      </c>
      <c r="L5" s="32" t="s">
        <v>31</v>
      </c>
      <c r="M5" s="28" t="s">
        <v>32</v>
      </c>
      <c r="Q5" s="19" t="s">
        <v>3</v>
      </c>
      <c r="R5" s="5"/>
    </row>
    <row r="6" spans="1:18" ht="15.75" customHeight="1" x14ac:dyDescent="0.25">
      <c r="A6" s="4"/>
      <c r="F6" s="5"/>
      <c r="H6" s="4"/>
      <c r="I6" s="11">
        <v>10</v>
      </c>
      <c r="J6" s="11">
        <v>-2</v>
      </c>
      <c r="K6" s="27">
        <v>-1</v>
      </c>
      <c r="L6" s="11">
        <v>0</v>
      </c>
      <c r="M6" s="31">
        <v>0</v>
      </c>
      <c r="Q6" s="11">
        <v>7</v>
      </c>
      <c r="R6" s="5"/>
    </row>
    <row r="7" spans="1:18" ht="15.75" customHeight="1" x14ac:dyDescent="0.25">
      <c r="A7" s="4"/>
      <c r="F7" s="5"/>
      <c r="H7" s="10"/>
      <c r="I7" s="11">
        <v>-2</v>
      </c>
      <c r="J7" s="11">
        <v>10</v>
      </c>
      <c r="K7" s="27">
        <v>-2</v>
      </c>
      <c r="L7" s="33">
        <v>-1</v>
      </c>
      <c r="M7" s="25">
        <v>0</v>
      </c>
      <c r="O7" s="49" t="s">
        <v>4</v>
      </c>
      <c r="P7" s="9"/>
      <c r="Q7" s="11">
        <v>8</v>
      </c>
      <c r="R7" s="5"/>
    </row>
    <row r="8" spans="1:18" ht="15.75" customHeight="1" x14ac:dyDescent="0.25">
      <c r="A8" s="4"/>
      <c r="F8" s="5"/>
      <c r="H8" s="10" t="s">
        <v>2</v>
      </c>
      <c r="I8" s="21">
        <v>-1</v>
      </c>
      <c r="J8" s="21">
        <v>-2</v>
      </c>
      <c r="K8" s="22">
        <v>10</v>
      </c>
      <c r="L8" s="34">
        <v>-2</v>
      </c>
      <c r="M8" s="29">
        <v>-1</v>
      </c>
      <c r="O8" s="49"/>
      <c r="Q8" s="11">
        <v>6</v>
      </c>
      <c r="R8" s="5"/>
    </row>
    <row r="9" spans="1:18" x14ac:dyDescent="0.25">
      <c r="A9" s="4"/>
      <c r="F9" s="5"/>
      <c r="H9" s="4"/>
      <c r="I9" s="27">
        <v>0</v>
      </c>
      <c r="J9" s="11">
        <v>-1</v>
      </c>
      <c r="K9" s="30">
        <v>-2</v>
      </c>
      <c r="L9" s="11">
        <v>10</v>
      </c>
      <c r="M9" s="31">
        <v>-2</v>
      </c>
      <c r="Q9" s="11">
        <v>5</v>
      </c>
      <c r="R9" s="5"/>
    </row>
    <row r="10" spans="1:18" x14ac:dyDescent="0.25">
      <c r="A10" s="4"/>
      <c r="F10" s="5"/>
      <c r="H10" s="4"/>
      <c r="I10" s="23">
        <v>0</v>
      </c>
      <c r="J10" s="33">
        <v>0</v>
      </c>
      <c r="K10" s="24">
        <v>-1</v>
      </c>
      <c r="L10" s="33">
        <v>-2</v>
      </c>
      <c r="M10" s="25">
        <v>10</v>
      </c>
      <c r="Q10" s="11">
        <v>4</v>
      </c>
      <c r="R10" s="5"/>
    </row>
    <row r="11" spans="1:18" x14ac:dyDescent="0.25">
      <c r="A11" s="4"/>
      <c r="F11" s="5"/>
      <c r="H11" s="4"/>
      <c r="R11" s="5"/>
    </row>
    <row r="12" spans="1:18" x14ac:dyDescent="0.25">
      <c r="A12" s="4"/>
      <c r="F12" s="5"/>
      <c r="H12" s="4"/>
      <c r="R12" s="5"/>
    </row>
    <row r="13" spans="1:18" x14ac:dyDescent="0.25">
      <c r="A13" s="4"/>
      <c r="F13" s="5"/>
      <c r="H13" s="4"/>
      <c r="R13" s="5"/>
    </row>
    <row r="14" spans="1:18" ht="15.75" thickBot="1" x14ac:dyDescent="0.3">
      <c r="A14" s="6"/>
      <c r="B14" s="7"/>
      <c r="C14" s="7"/>
      <c r="D14" s="7"/>
      <c r="E14" s="7"/>
      <c r="F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8"/>
    </row>
    <row r="15" spans="1:18" ht="28.5" x14ac:dyDescent="0.45">
      <c r="A15" s="52" t="s">
        <v>47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7" spans="1:8" ht="18.75" x14ac:dyDescent="0.3">
      <c r="A17" s="12" t="s">
        <v>6</v>
      </c>
    </row>
    <row r="19" spans="1:8" x14ac:dyDescent="0.25">
      <c r="B19" s="1" t="s">
        <v>8</v>
      </c>
      <c r="C19" s="1" t="s">
        <v>33</v>
      </c>
      <c r="D19" s="1" t="s">
        <v>34</v>
      </c>
      <c r="E19" s="1" t="s">
        <v>35</v>
      </c>
      <c r="F19" s="1" t="s">
        <v>36</v>
      </c>
      <c r="G19" s="1" t="s">
        <v>37</v>
      </c>
      <c r="H19" s="1" t="s">
        <v>7</v>
      </c>
    </row>
    <row r="20" spans="1:8" x14ac:dyDescent="0.25"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/>
    </row>
    <row r="21" spans="1:8" x14ac:dyDescent="0.25">
      <c r="B21" s="1">
        <v>2</v>
      </c>
      <c r="C21" s="13">
        <f>1/10*(7+2*D20+E20)</f>
        <v>0.70000000000000007</v>
      </c>
      <c r="D21" s="13">
        <f>1/10*(8+2*C21+2*E20-F20)</f>
        <v>0.94000000000000006</v>
      </c>
      <c r="E21" s="13">
        <f>1/10*(6+Tabla1[[#This Row],[X1]]+2*Tabla1[[#This Row],[X2]]-2*F20-G20)</f>
        <v>0.8580000000000001</v>
      </c>
      <c r="F21" s="13">
        <f>1/10*(5+Tabla1[[#This Row],[X2]]+2*Tabla1[[#This Row],[X3]]-2*G20)</f>
        <v>0.76560000000000006</v>
      </c>
      <c r="G21" s="13">
        <f>1/10*(4+Tabla1[[#This Row],[X3]]+2*Tabla1[[#This Row],[X4]])</f>
        <v>0.63892000000000015</v>
      </c>
      <c r="H21" s="16">
        <f>MAX(ABS(C21-C20),ABS(D21-D20),ABS(E21-E20),ABS(F21-F20),ABS(G21-G20))</f>
        <v>0.94000000000000006</v>
      </c>
    </row>
    <row r="22" spans="1:8" x14ac:dyDescent="0.25">
      <c r="B22" s="1">
        <v>3</v>
      </c>
      <c r="C22" s="13">
        <f t="shared" ref="C22:C31" si="0">1/10*(7+2*D21+E21)</f>
        <v>0.97380000000000022</v>
      </c>
      <c r="D22" s="13">
        <f t="shared" ref="D22:D31" si="1">1/10*(8+2*C22+2*E21-F21)</f>
        <v>1.0898000000000003</v>
      </c>
      <c r="E22" s="13">
        <f>1/10*(6+Tabla1[[#This Row],[X1]]+2*Tabla1[[#This Row],[X2]]-2*F21-G21)</f>
        <v>0.69832800000000006</v>
      </c>
      <c r="F22" s="13">
        <f>1/10*(5+Tabla1[[#This Row],[X2]]+2*Tabla1[[#This Row],[X3]]-2*G21)</f>
        <v>0.62086160000000001</v>
      </c>
      <c r="G22" s="13">
        <f>1/10*(4+Tabla1[[#This Row],[X3]]+2*Tabla1[[#This Row],[X4]])</f>
        <v>0.59400512000000005</v>
      </c>
      <c r="H22" s="16">
        <f t="shared" ref="H22:H31" si="2">MAX(ABS(C22-C21),ABS(D22-D21),ABS(E22-E21),ABS(F22-F21),ABS(G22-G21))</f>
        <v>0.27380000000000015</v>
      </c>
    </row>
    <row r="23" spans="1:8" x14ac:dyDescent="0.25">
      <c r="B23" s="1">
        <v>4</v>
      </c>
      <c r="C23" s="13">
        <f t="shared" si="0"/>
        <v>0.98779280000000014</v>
      </c>
      <c r="D23" s="13">
        <f t="shared" si="1"/>
        <v>1.0751380000000001</v>
      </c>
      <c r="E23" s="13">
        <f>1/10*(6+Tabla1[[#This Row],[X1]]+2*Tabla1[[#This Row],[X2]]-2*F22-G22)</f>
        <v>0.73023404800000014</v>
      </c>
      <c r="F23" s="13">
        <f>1/10*(5+Tabla1[[#This Row],[X2]]+2*Tabla1[[#This Row],[X3]]-2*G22)</f>
        <v>0.63475958560000001</v>
      </c>
      <c r="G23" s="13">
        <f>1/10*(4+Tabla1[[#This Row],[X3]]+2*Tabla1[[#This Row],[X4]])</f>
        <v>0.59997532192000003</v>
      </c>
      <c r="H23" s="16">
        <f t="shared" si="2"/>
        <v>3.1906048000000076E-2</v>
      </c>
    </row>
    <row r="24" spans="1:8" x14ac:dyDescent="0.25">
      <c r="B24" s="1">
        <v>5</v>
      </c>
      <c r="C24" s="13">
        <f t="shared" si="0"/>
        <v>0.98805100479999997</v>
      </c>
      <c r="D24" s="13">
        <f t="shared" si="1"/>
        <v>1.0801810520000001</v>
      </c>
      <c r="E24" s="13">
        <f>1/10*(6+Tabla1[[#This Row],[X1]]+2*Tabla1[[#This Row],[X2]]-2*F23-G23)</f>
        <v>0.72789186156800012</v>
      </c>
      <c r="F24" s="13">
        <f>1/10*(5+Tabla1[[#This Row],[X2]]+2*Tabla1[[#This Row],[X3]]-2*G23)</f>
        <v>0.63360141312960006</v>
      </c>
      <c r="G24" s="13">
        <f>1/10*(4+Tabla1[[#This Row],[X3]]+2*Tabla1[[#This Row],[X4]])</f>
        <v>0.59950946878272005</v>
      </c>
      <c r="H24" s="16">
        <f t="shared" si="2"/>
        <v>5.0430519999999923E-3</v>
      </c>
    </row>
    <row r="25" spans="1:8" x14ac:dyDescent="0.25">
      <c r="B25" s="1">
        <v>6</v>
      </c>
      <c r="C25" s="13">
        <f t="shared" si="0"/>
        <v>0.98882539655680013</v>
      </c>
      <c r="D25" s="13">
        <f t="shared" si="1"/>
        <v>1.0799833103120002</v>
      </c>
      <c r="E25" s="13">
        <f>1/10*(6+Tabla1[[#This Row],[X1]]+2*Tabla1[[#This Row],[X2]]-2*F24-G24)</f>
        <v>0.72820797221388822</v>
      </c>
      <c r="F25" s="13">
        <f>1/10*(5+Tabla1[[#This Row],[X2]]+2*Tabla1[[#This Row],[X3]]-2*G24)</f>
        <v>0.6337380317174337</v>
      </c>
      <c r="G25" s="13">
        <f>1/10*(4+Tabla1[[#This Row],[X3]]+2*Tabla1[[#This Row],[X4]])</f>
        <v>0.59956840356487562</v>
      </c>
      <c r="H25" s="16">
        <f t="shared" si="2"/>
        <v>7.7439175680016348E-4</v>
      </c>
    </row>
    <row r="26" spans="1:8" x14ac:dyDescent="0.25">
      <c r="B26" s="1">
        <v>7</v>
      </c>
      <c r="C26" s="13">
        <f t="shared" si="0"/>
        <v>0.98881745928378884</v>
      </c>
      <c r="D26" s="13">
        <f t="shared" si="1"/>
        <v>1.0800312831277921</v>
      </c>
      <c r="E26" s="13">
        <f>1/10*(6+Tabla1[[#This Row],[X1]]+2*Tabla1[[#This Row],[X2]]-2*F25-G25)</f>
        <v>0.7281835558539631</v>
      </c>
      <c r="F26" s="13">
        <f>1/10*(5+Tabla1[[#This Row],[X2]]+2*Tabla1[[#This Row],[X3]]-2*G25)</f>
        <v>0.63372615877059679</v>
      </c>
      <c r="G26" s="13">
        <f>1/10*(4+Tabla1[[#This Row],[X3]]+2*Tabla1[[#This Row],[X4]])</f>
        <v>0.59956358733951576</v>
      </c>
      <c r="H26" s="16">
        <f t="shared" si="2"/>
        <v>4.7972815791830214E-5</v>
      </c>
    </row>
    <row r="27" spans="1:8" x14ac:dyDescent="0.25">
      <c r="B27" s="14">
        <v>8</v>
      </c>
      <c r="C27" s="15">
        <f t="shared" si="0"/>
        <v>0.98882461221095486</v>
      </c>
      <c r="D27" s="15">
        <f t="shared" si="1"/>
        <v>1.0800290177359242</v>
      </c>
      <c r="E27" s="15">
        <f>1/10*(6+Tabla1[[#This Row],[X1]]+2*Tabla1[[#This Row],[X2]]-2*F26-G26)</f>
        <v>0.72818667428020944</v>
      </c>
      <c r="F27" s="15">
        <f>1/10*(5+Tabla1[[#This Row],[X2]]+2*Tabla1[[#This Row],[X3]]-2*G26)</f>
        <v>0.63372751916173131</v>
      </c>
      <c r="G27" s="15">
        <f>1/10*(4+Tabla1[[#This Row],[X3]]+2*Tabla1[[#This Row],[X4]])</f>
        <v>0.59956417126036721</v>
      </c>
      <c r="H27" s="20">
        <f t="shared" si="2"/>
        <v>7.1529271660208948E-6</v>
      </c>
    </row>
    <row r="28" spans="1:8" x14ac:dyDescent="0.25">
      <c r="B28" s="1">
        <v>9</v>
      </c>
      <c r="C28" s="13">
        <f t="shared" si="0"/>
        <v>0.98882447097520587</v>
      </c>
      <c r="D28" s="13">
        <f t="shared" si="1"/>
        <v>1.0800294771349099</v>
      </c>
      <c r="E28" s="13">
        <f>1/10*(6+Tabla1[[#This Row],[X1]]+2*Tabla1[[#This Row],[X2]]-2*F27-G27)</f>
        <v>0.72818642156611946</v>
      </c>
      <c r="F28" s="13">
        <f>1/10*(5+Tabla1[[#This Row],[X2]]+2*Tabla1[[#This Row],[X3]]-2*G27)</f>
        <v>0.63372739777464149</v>
      </c>
      <c r="G28" s="13">
        <f>1/10*(4+Tabla1[[#This Row],[X3]]+2*Tabla1[[#This Row],[X4]])</f>
        <v>0.59956412171154039</v>
      </c>
      <c r="H28" s="16">
        <f t="shared" si="2"/>
        <v>4.593989857415437E-7</v>
      </c>
    </row>
    <row r="29" spans="1:8" x14ac:dyDescent="0.25">
      <c r="B29" s="1">
        <v>10</v>
      </c>
      <c r="C29" s="13">
        <f t="shared" si="0"/>
        <v>0.98882453758359401</v>
      </c>
      <c r="D29" s="13">
        <f t="shared" si="1"/>
        <v>1.0800294520524785</v>
      </c>
      <c r="E29" s="13">
        <f>1/10*(6+Tabla1[[#This Row],[X1]]+2*Tabla1[[#This Row],[X2]]-2*F28-G28)</f>
        <v>0.72818645244277269</v>
      </c>
      <c r="F29" s="13">
        <f>1/10*(5+Tabla1[[#This Row],[X2]]+2*Tabla1[[#This Row],[X3]]-2*G28)</f>
        <v>0.63372741135149435</v>
      </c>
      <c r="G29" s="13">
        <f>1/10*(4+Tabla1[[#This Row],[X3]]+2*Tabla1[[#This Row],[X4]])</f>
        <v>0.59956412751457622</v>
      </c>
      <c r="H29" s="16">
        <f t="shared" si="2"/>
        <v>6.6608388138433838E-8</v>
      </c>
    </row>
    <row r="30" spans="1:8" x14ac:dyDescent="0.25">
      <c r="B30" s="1">
        <v>11</v>
      </c>
      <c r="C30" s="13">
        <f t="shared" si="0"/>
        <v>0.98882453565477302</v>
      </c>
      <c r="D30" s="13">
        <f t="shared" si="1"/>
        <v>1.08002945648436</v>
      </c>
      <c r="E30" s="13">
        <f>1/10*(6+Tabla1[[#This Row],[X1]]+2*Tabla1[[#This Row],[X2]]-2*F29-G29)</f>
        <v>0.72818644984059289</v>
      </c>
      <c r="F30" s="13">
        <f>1/10*(5+Tabla1[[#This Row],[X2]]+2*Tabla1[[#This Row],[X3]]-2*G29)</f>
        <v>0.63372741011363942</v>
      </c>
      <c r="G30" s="13">
        <f>1/10*(4+Tabla1[[#This Row],[X3]]+2*Tabla1[[#This Row],[X4]])</f>
        <v>0.5995641270067873</v>
      </c>
      <c r="H30" s="16">
        <f t="shared" si="2"/>
        <v>4.4318815284327684E-9</v>
      </c>
    </row>
    <row r="31" spans="1:8" x14ac:dyDescent="0.25">
      <c r="B31" s="1">
        <v>12</v>
      </c>
      <c r="C31" s="13">
        <f t="shared" si="0"/>
        <v>0.98882453628093137</v>
      </c>
      <c r="D31" s="13">
        <f t="shared" si="1"/>
        <v>1.0800294562129411</v>
      </c>
      <c r="E31" s="13">
        <f>1/10*(6+Tabla1[[#This Row],[X1]]+2*Tabla1[[#This Row],[X2]]-2*F30-G30)</f>
        <v>0.72818645014727479</v>
      </c>
      <c r="F31" s="13">
        <f>1/10*(5+Tabla1[[#This Row],[X2]]+2*Tabla1[[#This Row],[X3]]-2*G30)</f>
        <v>0.63372741024939172</v>
      </c>
      <c r="G31" s="13">
        <f>1/10*(4+Tabla1[[#This Row],[X3]]+2*Tabla1[[#This Row],[X4]])</f>
        <v>0.59956412706460593</v>
      </c>
      <c r="H31" s="16">
        <f t="shared" si="2"/>
        <v>6.261583473943233E-10</v>
      </c>
    </row>
    <row r="33" spans="1:14" x14ac:dyDescent="0.25">
      <c r="A33" s="47" t="s">
        <v>9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</row>
    <row r="34" spans="1:14" x14ac:dyDescent="0.25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</row>
    <row r="38" spans="1:14" ht="18.75" x14ac:dyDescent="0.3">
      <c r="A38" s="47" t="s">
        <v>10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</row>
  </sheetData>
  <mergeCells count="7">
    <mergeCell ref="A15:N15"/>
    <mergeCell ref="A33:N34"/>
    <mergeCell ref="A38:N38"/>
    <mergeCell ref="A4:D4"/>
    <mergeCell ref="A2:Q2"/>
    <mergeCell ref="H4:Q4"/>
    <mergeCell ref="O7:O8"/>
  </mergeCells>
  <phoneticPr fontId="1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4F2C-7610-418D-A87F-1CB9394453F6}">
  <sheetPr>
    <tabColor rgb="FF00B0F0"/>
  </sheetPr>
  <dimension ref="A2:R42"/>
  <sheetViews>
    <sheetView zoomScale="70" zoomScaleNormal="70" workbookViewId="0">
      <selection activeCell="U41" sqref="U41"/>
    </sheetView>
  </sheetViews>
  <sheetFormatPr baseColWidth="10" defaultRowHeight="15" x14ac:dyDescent="0.25"/>
  <sheetData>
    <row r="2" spans="1:18" ht="31.5" x14ac:dyDescent="0.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8" ht="15.75" thickBot="1" x14ac:dyDescent="0.3"/>
    <row r="4" spans="1:18" ht="21" x14ac:dyDescent="0.35">
      <c r="A4" s="42" t="s">
        <v>1</v>
      </c>
      <c r="B4" s="43"/>
      <c r="C4" s="43"/>
      <c r="D4" s="43"/>
      <c r="E4" s="2"/>
      <c r="F4" s="3"/>
      <c r="H4" s="44" t="s">
        <v>5</v>
      </c>
      <c r="I4" s="45"/>
      <c r="J4" s="45"/>
      <c r="K4" s="45"/>
      <c r="L4" s="45"/>
      <c r="M4" s="45"/>
      <c r="N4" s="45"/>
      <c r="O4" s="45"/>
      <c r="P4" s="45"/>
      <c r="Q4" s="45"/>
      <c r="R4" s="3"/>
    </row>
    <row r="5" spans="1:18" ht="18.75" x14ac:dyDescent="0.3">
      <c r="A5" s="4"/>
      <c r="F5" s="5"/>
      <c r="H5" s="4"/>
      <c r="I5" s="19" t="s">
        <v>28</v>
      </c>
      <c r="J5" s="19" t="s">
        <v>29</v>
      </c>
      <c r="K5" s="26" t="s">
        <v>30</v>
      </c>
      <c r="L5" s="32" t="s">
        <v>31</v>
      </c>
      <c r="M5" s="28" t="s">
        <v>32</v>
      </c>
      <c r="Q5" s="19" t="s">
        <v>3</v>
      </c>
      <c r="R5" s="5"/>
    </row>
    <row r="6" spans="1:18" x14ac:dyDescent="0.25">
      <c r="A6" s="4"/>
      <c r="F6" s="5"/>
      <c r="H6" s="4"/>
      <c r="I6" s="11">
        <v>10</v>
      </c>
      <c r="J6" s="11">
        <v>-2</v>
      </c>
      <c r="K6" s="27">
        <v>-1</v>
      </c>
      <c r="L6" s="11">
        <v>0</v>
      </c>
      <c r="M6" s="31">
        <v>0</v>
      </c>
      <c r="Q6" s="11">
        <v>7</v>
      </c>
      <c r="R6" s="5"/>
    </row>
    <row r="7" spans="1:18" ht="15.75" x14ac:dyDescent="0.25">
      <c r="A7" s="4"/>
      <c r="F7" s="5"/>
      <c r="H7" s="10"/>
      <c r="I7" s="11">
        <v>-2</v>
      </c>
      <c r="J7" s="11">
        <v>10</v>
      </c>
      <c r="K7" s="27">
        <v>-2</v>
      </c>
      <c r="L7" s="33">
        <v>-1</v>
      </c>
      <c r="M7" s="25">
        <v>0</v>
      </c>
      <c r="O7" s="49" t="s">
        <v>4</v>
      </c>
      <c r="P7" s="9"/>
      <c r="Q7" s="11">
        <v>8</v>
      </c>
      <c r="R7" s="5"/>
    </row>
    <row r="8" spans="1:18" ht="15.75" x14ac:dyDescent="0.25">
      <c r="A8" s="4"/>
      <c r="F8" s="5"/>
      <c r="H8" s="10" t="s">
        <v>2</v>
      </c>
      <c r="I8" s="21">
        <v>-1</v>
      </c>
      <c r="J8" s="21">
        <v>-2</v>
      </c>
      <c r="K8" s="22">
        <v>10</v>
      </c>
      <c r="L8" s="34">
        <v>-2</v>
      </c>
      <c r="M8" s="29">
        <v>-1</v>
      </c>
      <c r="O8" s="49"/>
      <c r="Q8" s="11">
        <v>6</v>
      </c>
      <c r="R8" s="5"/>
    </row>
    <row r="9" spans="1:18" x14ac:dyDescent="0.25">
      <c r="A9" s="4"/>
      <c r="F9" s="5"/>
      <c r="H9" s="4"/>
      <c r="I9" s="27">
        <v>0</v>
      </c>
      <c r="J9" s="11">
        <v>-1</v>
      </c>
      <c r="K9" s="30">
        <v>-2</v>
      </c>
      <c r="L9" s="11">
        <v>10</v>
      </c>
      <c r="M9" s="31">
        <v>-2</v>
      </c>
      <c r="Q9" s="11">
        <v>5</v>
      </c>
      <c r="R9" s="5"/>
    </row>
    <row r="10" spans="1:18" x14ac:dyDescent="0.25">
      <c r="A10" s="4"/>
      <c r="F10" s="5"/>
      <c r="H10" s="4"/>
      <c r="I10" s="23">
        <v>0</v>
      </c>
      <c r="J10" s="33">
        <v>0</v>
      </c>
      <c r="K10" s="24">
        <v>-1</v>
      </c>
      <c r="L10" s="33">
        <v>-2</v>
      </c>
      <c r="M10" s="25">
        <v>10</v>
      </c>
      <c r="Q10" s="11">
        <v>4</v>
      </c>
      <c r="R10" s="5"/>
    </row>
    <row r="11" spans="1:18" x14ac:dyDescent="0.25">
      <c r="A11" s="4"/>
      <c r="F11" s="5"/>
      <c r="H11" s="4"/>
      <c r="R11" s="5"/>
    </row>
    <row r="12" spans="1:18" ht="18.75" x14ac:dyDescent="0.3">
      <c r="A12" s="4"/>
      <c r="F12" s="5"/>
      <c r="H12" s="4"/>
      <c r="O12" s="37" t="s">
        <v>13</v>
      </c>
      <c r="P12" s="11">
        <v>1.1000000000000001</v>
      </c>
      <c r="R12" s="5"/>
    </row>
    <row r="13" spans="1:18" x14ac:dyDescent="0.25">
      <c r="A13" s="4"/>
      <c r="F13" s="5"/>
      <c r="H13" s="4"/>
      <c r="R13" s="5"/>
    </row>
    <row r="14" spans="1:18" ht="15.75" thickBot="1" x14ac:dyDescent="0.3">
      <c r="A14" s="6"/>
      <c r="B14" s="7"/>
      <c r="C14" s="7"/>
      <c r="D14" s="7"/>
      <c r="E14" s="7"/>
      <c r="F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8"/>
    </row>
    <row r="15" spans="1:18" ht="36" x14ac:dyDescent="0.55000000000000004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</row>
    <row r="17" spans="1:14" ht="29.25" thickBot="1" x14ac:dyDescent="0.5">
      <c r="A17" s="53" t="s">
        <v>14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</row>
    <row r="18" spans="1:14" ht="15.75" thickTop="1" x14ac:dyDescent="0.25"/>
    <row r="19" spans="1:14" ht="18.75" x14ac:dyDescent="0.3">
      <c r="A19" s="12" t="s">
        <v>11</v>
      </c>
    </row>
    <row r="20" spans="1:14" ht="18.75" x14ac:dyDescent="0.3">
      <c r="A20" s="47" t="s">
        <v>12</v>
      </c>
      <c r="B20" s="47"/>
      <c r="C20" s="47"/>
      <c r="D20" s="47"/>
    </row>
    <row r="23" spans="1:14" x14ac:dyDescent="0.25">
      <c r="B23" s="1" t="s">
        <v>8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7</v>
      </c>
    </row>
    <row r="24" spans="1:14" x14ac:dyDescent="0.25"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/>
    </row>
    <row r="25" spans="1:14" x14ac:dyDescent="0.25">
      <c r="B25" s="1">
        <v>2</v>
      </c>
      <c r="C25" s="13">
        <f>(1-$P$12)*C24+$P$12*(1/10*(7-2*D24+E24))</f>
        <v>0.77000000000000013</v>
      </c>
      <c r="D25" s="13">
        <f>((1-$P$12)*D24+$P$12*(1/10*(8+2*C25+2*E24-F24)))</f>
        <v>1.0494000000000003</v>
      </c>
      <c r="E25" s="13">
        <f>(1-$P$12)*E24+$P$12*(1/10*(6+Tabla13[[#This Row],[X1]]+2*Tabla13[[#This Row],[X2]]+2*G24))</f>
        <v>0.97556800000000021</v>
      </c>
      <c r="F25" s="13">
        <f>(1-$P$12)*F24+$P$12*(1/10*(5+Tabla13[[#This Row],[X2]]+2*Tabla13[[#This Row],[X3]]+2*G24))</f>
        <v>0.88005896000000006</v>
      </c>
      <c r="G25" s="13">
        <f>(1-$P$12)*G24+$P$12*(1/10*(4+Tabla13[[#This Row],[X3]]+2*Tabla13[[#This Row],[X4]]))</f>
        <v>0.7409254512000002</v>
      </c>
      <c r="H25" s="16">
        <f>MAX(ABS(C25-C24),ABS(D25-D24),ABS(E25-E24),ABS(F25-F24),ABS(G25-G24))</f>
        <v>1.0494000000000003</v>
      </c>
    </row>
    <row r="26" spans="1:14" x14ac:dyDescent="0.25">
      <c r="B26" s="1">
        <v>3</v>
      </c>
      <c r="C26" s="13">
        <f t="shared" ref="C26:C35" si="0">(1-$P$12)*C25+$P$12*(1/10*(7-2*D25+E25))</f>
        <v>0.56944448000000003</v>
      </c>
      <c r="D26" s="13">
        <f t="shared" ref="D26:D35" si="1">((1-$P$12)*D25+$P$12*(1/10*(8+2*C26+2*E25-F25)))</f>
        <v>1.01815626</v>
      </c>
      <c r="E26" s="13">
        <f>(1-$P$12)*E25+$P$12*(1/10*(6+Tabla13[[#This Row],[X1]]+2*Tabla13[[#This Row],[X2]]+2*G25))</f>
        <v>1.012080069264</v>
      </c>
      <c r="F26" s="13">
        <f>(1-$P$12)*F25+$P$12*(1/10*(5+Tabla13[[#This Row],[X2]]+2*Tabla13[[#This Row],[X3]]+2*G25))</f>
        <v>0.95965250710207983</v>
      </c>
      <c r="G26" s="13">
        <f>(1-$P$12)*G25+$P$12*(1/10*(4+Tabla13[[#This Row],[X3]]+2*Tabla13[[#This Row],[X4]]))</f>
        <v>0.6883598140614976</v>
      </c>
      <c r="H26" s="16">
        <f t="shared" ref="H26:H35" si="2">MAX(ABS(C26-C25),ABS(D26-D25),ABS(E26-E25),ABS(F26-F25),ABS(G26-G25))</f>
        <v>0.2005555200000001</v>
      </c>
    </row>
    <row r="27" spans="1:14" x14ac:dyDescent="0.25">
      <c r="B27" s="1">
        <v>4</v>
      </c>
      <c r="C27" s="13">
        <f t="shared" si="0"/>
        <v>0.60038998241904007</v>
      </c>
      <c r="D27" s="13">
        <f t="shared" si="1"/>
        <v>1.0273660095890402</v>
      </c>
      <c r="E27" s="13">
        <f>(1-$P$12)*E26+$P$12*(1/10*(6+Tabla13[[#This Row],[X1]]+2*Tabla13[[#This Row],[X2]]+2*G26))</f>
        <v>1.0022945723428129</v>
      </c>
      <c r="F27" s="13">
        <f>(1-$P$12)*F26+$P$12*(1/10*(5+Tabla13[[#This Row],[X2]]+2*Tabla13[[#This Row],[X3]]+2*G26))</f>
        <v>0.93898897535353465</v>
      </c>
      <c r="G27" s="13">
        <f>(1-$P$12)*G26+$P$12*(1/10*(4+Tabla13[[#This Row],[X3]]+2*Tabla13[[#This Row],[X4]]))</f>
        <v>0.68799399612933732</v>
      </c>
      <c r="H27" s="16">
        <f t="shared" si="2"/>
        <v>3.0945502419040039E-2</v>
      </c>
    </row>
    <row r="28" spans="1:14" x14ac:dyDescent="0.25">
      <c r="B28" s="1">
        <v>5</v>
      </c>
      <c r="C28" s="13">
        <f t="shared" si="0"/>
        <v>0.59419288260621661</v>
      </c>
      <c r="D28" s="13">
        <f t="shared" si="1"/>
        <v>1.0252018518409938</v>
      </c>
      <c r="E28" s="13">
        <f>(1-$P$12)*E27+$P$12*(1/10*(6+Tabla13[[#This Row],[X1]]+2*Tabla13[[#This Row],[X2]]+2*G27))</f>
        <v>1.0020348464058755</v>
      </c>
      <c r="F28" s="13">
        <f>(1-$P$12)*F27+$P$12*(1/10*(5+Tabla13[[#This Row],[X2]]+2*Tabla13[[#This Row],[X3]]+2*G27))</f>
        <v>0.94067965152490285</v>
      </c>
      <c r="G28" s="13">
        <f>(1-$P$12)*G27+$P$12*(1/10*(4+Tabla13[[#This Row],[X3]]+2*Tabla13[[#This Row],[X4]]))</f>
        <v>0.68837395682719127</v>
      </c>
      <c r="H28" s="16">
        <f t="shared" si="2"/>
        <v>6.1970998128234589E-3</v>
      </c>
    </row>
    <row r="29" spans="1:14" x14ac:dyDescent="0.25">
      <c r="B29" s="1">
        <v>6</v>
      </c>
      <c r="C29" s="13">
        <f t="shared" si="0"/>
        <v>0.59526013743900597</v>
      </c>
      <c r="D29" s="13">
        <f t="shared" si="1"/>
        <v>1.0254099495940352</v>
      </c>
      <c r="E29" s="13">
        <f>(1-$P$12)*E28+$P$12*(1/10*(6+Tabla13[[#This Row],[X1]]+2*Tabla13[[#This Row],[X2]]+2*G28))</f>
        <v>1.0023075898903728</v>
      </c>
      <c r="F29" s="13">
        <f>(1-$P$12)*F28+$P$12*(1/10*(5+Tabla13[[#This Row],[X2]]+2*Tabla13[[#This Row],[X3]]+2*G28))</f>
        <v>0.94067706958071773</v>
      </c>
      <c r="G29" s="13">
        <f>(1-$P$12)*G28+$P$12*(1/10*(4+Tabla13[[#This Row],[X3]]+2*Tabla13[[#This Row],[X4]]))</f>
        <v>0.68836539451297984</v>
      </c>
      <c r="H29" s="16">
        <f t="shared" si="2"/>
        <v>1.067254832789355E-3</v>
      </c>
    </row>
    <row r="30" spans="1:14" x14ac:dyDescent="0.25">
      <c r="B30" s="1">
        <v>7</v>
      </c>
      <c r="C30" s="13">
        <f t="shared" si="0"/>
        <v>0.5951376322333527</v>
      </c>
      <c r="D30" s="13">
        <f t="shared" si="1"/>
        <v>1.0254224762539375</v>
      </c>
      <c r="E30" s="13">
        <f>(1-$P$12)*E29+$P$12*(1/10*(6+Tabla13[[#This Row],[X1]]+2*Tabla13[[#This Row],[X2]]+2*G29))</f>
        <v>1.0022677121253531</v>
      </c>
      <c r="F30" s="13">
        <f>(1-$P$12)*F29+$P$12*(1/10*(5+Tabla13[[#This Row],[X2]]+2*Tabla13[[#This Row],[X3]]+2*G29))</f>
        <v>0.94066804889029465</v>
      </c>
      <c r="G30" s="13">
        <f>(1-$P$12)*G29+$P$12*(1/10*(4+Tabla13[[#This Row],[X3]]+2*Tabla13[[#This Row],[X4]]))</f>
        <v>0.68835987963835565</v>
      </c>
      <c r="H30" s="16">
        <f t="shared" si="2"/>
        <v>1.2250520565326717E-4</v>
      </c>
    </row>
    <row r="31" spans="1:14" x14ac:dyDescent="0.25">
      <c r="B31" s="1">
        <v>8</v>
      </c>
      <c r="C31" s="13">
        <f t="shared" si="0"/>
        <v>0.59514274033458736</v>
      </c>
      <c r="D31" s="13">
        <f t="shared" si="1"/>
        <v>1.0254145665378607</v>
      </c>
      <c r="E31" s="13">
        <f>(1-$P$12)*E30+$P$12*(1/10*(6+Tabla13[[#This Row],[X1]]+2*Tabla13[[#This Row],[X2]]+2*G30))</f>
        <v>1.0022693083830372</v>
      </c>
      <c r="F31" s="13">
        <f>(1-$P$12)*F30+$P$12*(1/10*(5+Tabla13[[#This Row],[X2]]+2*Tabla13[[#This Row],[X3]]+2*G30))</f>
        <v>0.94066721879484161</v>
      </c>
      <c r="G31" s="13">
        <f>(1-$P$12)*G30+$P$12*(1/10*(4+Tabla13[[#This Row],[X3]]+2*Tabla13[[#This Row],[X4]]))</f>
        <v>0.68836042409316389</v>
      </c>
      <c r="H31" s="16">
        <f t="shared" si="2"/>
        <v>7.9097160767815922E-6</v>
      </c>
    </row>
    <row r="32" spans="1:14" x14ac:dyDescent="0.25">
      <c r="B32" s="1">
        <v>9</v>
      </c>
      <c r="C32" s="13">
        <f t="shared" si="0"/>
        <v>0.59514414525034609</v>
      </c>
      <c r="D32" s="13">
        <f t="shared" si="1"/>
        <v>1.025416109078126</v>
      </c>
      <c r="E32" s="13">
        <f>(1-$P$12)*E31+$P$12*(1/10*(6+Tabla13[[#This Row],[X1]]+2*Tabla13[[#This Row],[X2]]+2*G31))</f>
        <v>1.0022697624369181</v>
      </c>
      <c r="F32" s="13">
        <f>(1-$P$12)*F31+$P$12*(1/10*(5+Tabla13[[#This Row],[X2]]+2*Tabla13[[#This Row],[X3]]+2*G31))</f>
        <v>0.94066769115572757</v>
      </c>
      <c r="G32" s="13">
        <f>(1-$P$12)*G31+$P$12*(1/10*(4+Tabla13[[#This Row],[X3]]+2*Tabla13[[#This Row],[X4]]))</f>
        <v>0.68836052351300481</v>
      </c>
      <c r="H32" s="16">
        <f t="shared" si="2"/>
        <v>1.5425402652979869E-6</v>
      </c>
    </row>
    <row r="33" spans="1:14" x14ac:dyDescent="0.25">
      <c r="B33" s="14">
        <v>10</v>
      </c>
      <c r="C33" s="15">
        <f t="shared" si="0"/>
        <v>0.59514371534583865</v>
      </c>
      <c r="D33" s="15">
        <f t="shared" si="1"/>
        <v>1.0254159081772638</v>
      </c>
      <c r="E33" s="15">
        <f>(1-$P$12)*E32+$P$12*(1/10*(6+Tabla13[[#This Row],[X1]]+2*Tabla13[[#This Row],[X2]]+2*G32))</f>
        <v>1.0022696474162096</v>
      </c>
      <c r="F33" s="15">
        <f>(1-$P$12)*F32+$P$12*(1/10*(5+Tabla13[[#This Row],[X2]]+2*Tabla13[[#This Row],[X3]]+2*G32))</f>
        <v>0.94066761838835344</v>
      </c>
      <c r="G33" s="15">
        <f>(1-$P$12)*G32+$P$12*(1/10*(4+Tabla13[[#This Row],[X3]]+2*Tabla13[[#This Row],[X4]]))</f>
        <v>0.6883604849099203</v>
      </c>
      <c r="H33" s="20">
        <f t="shared" si="2"/>
        <v>4.2990450743740638E-7</v>
      </c>
    </row>
    <row r="34" spans="1:14" x14ac:dyDescent="0.25">
      <c r="B34" s="1">
        <v>11</v>
      </c>
      <c r="C34" s="13">
        <f t="shared" si="0"/>
        <v>0.59514378988220118</v>
      </c>
      <c r="D34" s="13">
        <f t="shared" si="1"/>
        <v>1.025415927365205</v>
      </c>
      <c r="E34" s="13">
        <f>(1-$P$12)*E33+$P$12*(1/10*(6+Tabla13[[#This Row],[X1]]+2*Tabla13[[#This Row],[X2]]+2*G33))</f>
        <v>1.0022696628459489</v>
      </c>
      <c r="F34" s="13">
        <f>(1-$P$12)*F33+$P$12*(1/10*(5+Tabla13[[#This Row],[X2]]+2*Tabla13[[#This Row],[X3]]+2*G33))</f>
        <v>0.9406676226776286</v>
      </c>
      <c r="G34" s="13">
        <f>(1-$P$12)*G33+$P$12*(1/10*(4+Tabla13[[#This Row],[X3]]+2*Tabla13[[#This Row],[X4]]))</f>
        <v>0.68836049141114064</v>
      </c>
      <c r="H34" s="16">
        <f t="shared" si="2"/>
        <v>7.4536362526522737E-8</v>
      </c>
    </row>
    <row r="35" spans="1:14" ht="15" customHeight="1" x14ac:dyDescent="0.25">
      <c r="B35" s="1">
        <v>12</v>
      </c>
      <c r="C35" s="13">
        <f t="shared" si="0"/>
        <v>0.59514377990448919</v>
      </c>
      <c r="D35" s="13">
        <f t="shared" si="1"/>
        <v>1.0254159261740372</v>
      </c>
      <c r="E35" s="13">
        <f>(1-$P$12)*E34+$P$12*(1/10*(6+Tabla13[[#This Row],[X1]]+2*Tabla13[[#This Row],[X2]]+2*G34))</f>
        <v>1.0022696613736384</v>
      </c>
      <c r="F35" s="13">
        <f>(1-$P$12)*F34+$P$12*(1/10*(5+Tabla13[[#This Row],[X2]]+2*Tabla13[[#This Row],[X3]]+2*G34))</f>
        <v>0.94066762322403275</v>
      </c>
      <c r="G35" s="13">
        <f>(1-$P$12)*G34+$P$12*(1/10*(4+Tabla13[[#This Row],[X3]]+2*Tabla13[[#This Row],[X4]]))</f>
        <v>0.6883604907192733</v>
      </c>
      <c r="H35" s="16">
        <f t="shared" si="2"/>
        <v>9.9777119899613353E-9</v>
      </c>
    </row>
    <row r="36" spans="1:14" ht="15" customHeight="1" x14ac:dyDescent="0.25"/>
    <row r="37" spans="1:14" x14ac:dyDescent="0.25">
      <c r="A37" s="47" t="s">
        <v>48</v>
      </c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</row>
    <row r="38" spans="1:14" x14ac:dyDescent="0.25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</row>
    <row r="42" spans="1:14" ht="18.75" x14ac:dyDescent="0.3">
      <c r="A42" s="47" t="s">
        <v>10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</row>
  </sheetData>
  <mergeCells count="9">
    <mergeCell ref="A2:Q2"/>
    <mergeCell ref="O7:O8"/>
    <mergeCell ref="A20:D20"/>
    <mergeCell ref="A17:N17"/>
    <mergeCell ref="A15:N15"/>
    <mergeCell ref="A37:N38"/>
    <mergeCell ref="A42:N42"/>
    <mergeCell ref="H4:Q4"/>
    <mergeCell ref="A4:D4"/>
  </mergeCells>
  <phoneticPr fontId="1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31A6-FEDF-474E-B439-1E141874A014}">
  <sheetPr>
    <tabColor rgb="FFFFC000"/>
  </sheetPr>
  <dimension ref="A2:AA43"/>
  <sheetViews>
    <sheetView tabSelected="1" topLeftCell="A14" zoomScale="85" zoomScaleNormal="85" workbookViewId="0">
      <selection activeCell="Q39" sqref="Q39"/>
    </sheetView>
  </sheetViews>
  <sheetFormatPr baseColWidth="10" defaultRowHeight="15" x14ac:dyDescent="0.25"/>
  <cols>
    <col min="15" max="15" width="11.85546875" bestFit="1" customWidth="1"/>
  </cols>
  <sheetData>
    <row r="2" spans="1:18" ht="31.5" x14ac:dyDescent="0.5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8" ht="15.75" thickBot="1" x14ac:dyDescent="0.3"/>
    <row r="4" spans="1:18" ht="21" x14ac:dyDescent="0.35">
      <c r="A4" s="42" t="s">
        <v>1</v>
      </c>
      <c r="B4" s="43"/>
      <c r="C4" s="43"/>
      <c r="D4" s="43"/>
      <c r="E4" s="2"/>
      <c r="F4" s="3"/>
      <c r="H4" s="44" t="s">
        <v>5</v>
      </c>
      <c r="I4" s="45"/>
      <c r="J4" s="45"/>
      <c r="K4" s="45"/>
      <c r="L4" s="45"/>
      <c r="M4" s="45"/>
      <c r="N4" s="45"/>
      <c r="O4" s="45"/>
      <c r="P4" s="45"/>
      <c r="Q4" s="45"/>
      <c r="R4" s="3"/>
    </row>
    <row r="5" spans="1:18" ht="18.75" x14ac:dyDescent="0.3">
      <c r="A5" s="4"/>
      <c r="F5" s="5"/>
      <c r="H5" s="4"/>
      <c r="I5" s="19" t="s">
        <v>28</v>
      </c>
      <c r="J5" s="19" t="s">
        <v>29</v>
      </c>
      <c r="K5" s="26" t="s">
        <v>30</v>
      </c>
      <c r="L5" s="32" t="s">
        <v>31</v>
      </c>
      <c r="M5" s="28" t="s">
        <v>32</v>
      </c>
      <c r="Q5" s="19" t="s">
        <v>3</v>
      </c>
      <c r="R5" s="5"/>
    </row>
    <row r="6" spans="1:18" x14ac:dyDescent="0.25">
      <c r="A6" s="4"/>
      <c r="F6" s="5"/>
      <c r="H6" s="4"/>
      <c r="I6" s="11">
        <v>10</v>
      </c>
      <c r="J6" s="11">
        <v>-2</v>
      </c>
      <c r="K6" s="27">
        <v>-1</v>
      </c>
      <c r="L6" s="11">
        <v>0</v>
      </c>
      <c r="M6" s="31">
        <v>0</v>
      </c>
      <c r="Q6" s="11">
        <v>7</v>
      </c>
      <c r="R6" s="5"/>
    </row>
    <row r="7" spans="1:18" ht="15.75" x14ac:dyDescent="0.25">
      <c r="A7" s="4"/>
      <c r="F7" s="5"/>
      <c r="H7" s="10"/>
      <c r="I7" s="11">
        <v>-2</v>
      </c>
      <c r="J7" s="11">
        <v>10</v>
      </c>
      <c r="K7" s="27">
        <v>-2</v>
      </c>
      <c r="L7" s="33">
        <v>-1</v>
      </c>
      <c r="M7" s="25">
        <v>0</v>
      </c>
      <c r="O7" s="49" t="s">
        <v>4</v>
      </c>
      <c r="P7" s="9"/>
      <c r="Q7" s="11">
        <v>8</v>
      </c>
      <c r="R7" s="5"/>
    </row>
    <row r="8" spans="1:18" ht="15.75" x14ac:dyDescent="0.25">
      <c r="A8" s="4"/>
      <c r="F8" s="5"/>
      <c r="H8" s="10" t="s">
        <v>2</v>
      </c>
      <c r="I8" s="21">
        <v>-1</v>
      </c>
      <c r="J8" s="21">
        <v>-2</v>
      </c>
      <c r="K8" s="22">
        <v>10</v>
      </c>
      <c r="L8" s="34">
        <v>-2</v>
      </c>
      <c r="M8" s="29">
        <v>-1</v>
      </c>
      <c r="O8" s="49"/>
      <c r="Q8" s="11">
        <v>6</v>
      </c>
      <c r="R8" s="5"/>
    </row>
    <row r="9" spans="1:18" x14ac:dyDescent="0.25">
      <c r="A9" s="4"/>
      <c r="F9" s="5"/>
      <c r="H9" s="4"/>
      <c r="I9" s="27">
        <v>0</v>
      </c>
      <c r="J9" s="11">
        <v>-1</v>
      </c>
      <c r="K9" s="30">
        <v>-2</v>
      </c>
      <c r="L9" s="11">
        <v>10</v>
      </c>
      <c r="M9" s="31">
        <v>-2</v>
      </c>
      <c r="Q9" s="11">
        <v>5</v>
      </c>
      <c r="R9" s="5"/>
    </row>
    <row r="10" spans="1:18" x14ac:dyDescent="0.25">
      <c r="A10" s="4"/>
      <c r="F10" s="5"/>
      <c r="H10" s="4"/>
      <c r="I10" s="23">
        <v>0</v>
      </c>
      <c r="J10" s="33">
        <v>0</v>
      </c>
      <c r="K10" s="24">
        <v>-1</v>
      </c>
      <c r="L10" s="33">
        <v>-2</v>
      </c>
      <c r="M10" s="25">
        <v>10</v>
      </c>
      <c r="Q10" s="11">
        <v>4</v>
      </c>
      <c r="R10" s="5"/>
    </row>
    <row r="11" spans="1:18" x14ac:dyDescent="0.25">
      <c r="A11" s="4"/>
      <c r="F11" s="5"/>
      <c r="H11" s="4"/>
      <c r="R11" s="5"/>
    </row>
    <row r="12" spans="1:18" x14ac:dyDescent="0.25">
      <c r="A12" s="4"/>
      <c r="F12" s="5"/>
      <c r="H12" s="4"/>
      <c r="R12" s="5"/>
    </row>
    <row r="13" spans="1:18" x14ac:dyDescent="0.25">
      <c r="A13" s="4"/>
      <c r="F13" s="5"/>
      <c r="H13" s="4"/>
      <c r="R13" s="5"/>
    </row>
    <row r="14" spans="1:18" ht="15.75" thickBot="1" x14ac:dyDescent="0.3">
      <c r="A14" s="6"/>
      <c r="B14" s="7"/>
      <c r="C14" s="7"/>
      <c r="D14" s="7"/>
      <c r="E14" s="7"/>
      <c r="F14" s="8"/>
      <c r="H14" s="6"/>
      <c r="I14" s="7"/>
      <c r="J14" s="7"/>
      <c r="K14" s="7"/>
      <c r="L14" s="7"/>
      <c r="M14" s="7"/>
      <c r="N14" s="7"/>
      <c r="O14" s="7"/>
      <c r="P14" s="7"/>
      <c r="Q14" s="7"/>
      <c r="R14" s="8"/>
    </row>
    <row r="15" spans="1:18" ht="28.5" x14ac:dyDescent="0.45">
      <c r="A15" s="52" t="s">
        <v>27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</row>
    <row r="16" spans="1:18" ht="36" x14ac:dyDescent="0.55000000000000004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8" spans="1:25" ht="18.75" x14ac:dyDescent="0.3">
      <c r="A18" s="12" t="s">
        <v>49</v>
      </c>
    </row>
    <row r="19" spans="1:25" ht="18.75" x14ac:dyDescent="0.3">
      <c r="A19" s="47"/>
      <c r="B19" s="47"/>
      <c r="C19" s="47"/>
      <c r="D19" s="47"/>
    </row>
    <row r="21" spans="1:25" ht="18.75" x14ac:dyDescent="0.3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</row>
    <row r="23" spans="1:25" x14ac:dyDescent="0.25">
      <c r="B23" s="1" t="s">
        <v>8</v>
      </c>
      <c r="C23" s="1" t="s">
        <v>33</v>
      </c>
      <c r="D23" s="1" t="s">
        <v>34</v>
      </c>
      <c r="E23" s="1" t="s">
        <v>35</v>
      </c>
      <c r="F23" s="1" t="s">
        <v>36</v>
      </c>
      <c r="G23" s="1" t="s">
        <v>37</v>
      </c>
      <c r="H23" s="1" t="s">
        <v>15</v>
      </c>
      <c r="I23" s="1" t="s">
        <v>16</v>
      </c>
      <c r="J23" s="1" t="s">
        <v>17</v>
      </c>
      <c r="K23" s="1" t="s">
        <v>50</v>
      </c>
      <c r="L23" s="1" t="s">
        <v>51</v>
      </c>
      <c r="M23" s="1" t="s">
        <v>19</v>
      </c>
      <c r="N23" s="1" t="s">
        <v>20</v>
      </c>
      <c r="O23" s="1" t="s">
        <v>21</v>
      </c>
      <c r="P23" s="1" t="s">
        <v>52</v>
      </c>
      <c r="Q23" s="1" t="s">
        <v>53</v>
      </c>
      <c r="R23" s="1" t="s">
        <v>22</v>
      </c>
      <c r="S23" s="1" t="s">
        <v>23</v>
      </c>
      <c r="T23" s="1" t="s">
        <v>24</v>
      </c>
      <c r="U23" s="1" t="s">
        <v>54</v>
      </c>
      <c r="V23" s="1" t="s">
        <v>55</v>
      </c>
      <c r="W23" s="1" t="s">
        <v>25</v>
      </c>
      <c r="X23" s="1" t="s">
        <v>18</v>
      </c>
      <c r="Y23" s="1" t="s">
        <v>26</v>
      </c>
    </row>
    <row r="24" spans="1:25" x14ac:dyDescent="0.25"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f>7-(10*Tabla134[[#This Row],[X1]]-2*Tabla134[[#This Row],[X2]]-Tabla134[[#This Row],[X3]])</f>
        <v>7</v>
      </c>
      <c r="I24" s="1">
        <f>8-(-2*Tabla134[[#This Row],[X1]]+10*Tabla134[[#This Row],[X2]]-2*Tabla134[[#This Row],[X3]]-Tabla134[[#This Row],[X4]])</f>
        <v>8</v>
      </c>
      <c r="J24" s="1">
        <f>6-(-Tabla134[[#This Row],[X1]]-2*Tabla134[[#This Row],[X2]]+10*Tabla134[[#This Row],[X3]]-2*Tabla134[[#This Row],[X4]]-Tabla134[[#This Row],[X5]])</f>
        <v>6</v>
      </c>
      <c r="K24" s="1">
        <f>5-(-Tabla134[[#This Row],[X2]]-2*Tabla134[[#This Row],[X3]]+10*Tabla134[[#This Row],[X4]]-2*Tabla134[[#This Row],[X5]])</f>
        <v>5</v>
      </c>
      <c r="L24" s="1">
        <f>4-(-Tabla134[[#This Row],[X3]]-2*Tabla134[[#This Row],[X4]]+10*Tabla134[[#This Row],[X5]])</f>
        <v>4</v>
      </c>
      <c r="M24" s="1">
        <f>Tabla134[[#This Row],[r1]]</f>
        <v>7</v>
      </c>
      <c r="N24" s="1">
        <f>Tabla134[[#This Row],[r2]]</f>
        <v>8</v>
      </c>
      <c r="O24" s="1">
        <f>Tabla134[[#This Row],[r3]]</f>
        <v>6</v>
      </c>
      <c r="P24" s="1">
        <f>Tabla134[[#This Row],[r4]]</f>
        <v>5</v>
      </c>
      <c r="Q24" s="1">
        <f>Tabla134[[#This Row],[r5]]</f>
        <v>4</v>
      </c>
      <c r="R24" s="1">
        <f>10*Tabla134[[#This Row],[p1]]-2*Tabla134[[#This Row],[p2]]-1*Tabla134[[#This Row],[p3]]+0*Tabla134[[#This Row],[p4]]+0*Tabla134[[#This Row],[p5]]</f>
        <v>48</v>
      </c>
      <c r="S24" s="1">
        <f>-2*Tabla134[[#This Row],[p1]]+10*Tabla134[[#This Row],[p2]]-2*Tabla134[[#This Row],[p3]]-1*Tabla134[[#This Row],[p4]]+0*Tabla134[[#This Row],[p5]]</f>
        <v>49</v>
      </c>
      <c r="T24" s="1">
        <f>-1*Tabla134[[#This Row],[p1]]-2*Tabla134[[#This Row],[p2]]+10*Tabla134[[#This Row],[p3]]-2*Tabla134[[#This Row],[p4]]+0*Tabla134[[#This Row],[p5]]</f>
        <v>27</v>
      </c>
      <c r="U24" s="1">
        <f>0*Tabla134[[#This Row],[p1]]-1*Tabla134[[#This Row],[p2]]-2*Tabla134[[#This Row],[p3]]+10*Tabla134[[#This Row],[p4]]-2*Tabla134[[#This Row],[p5]]</f>
        <v>22</v>
      </c>
      <c r="V24" s="1">
        <f>0*Tabla134[[#This Row],[p1]]+0*Tabla134[[#This Row],[p2]]-1*Tabla134[[#This Row],[p3]]-2*Tabla134[[#This Row],[p4]]+10*Tabla134[[#This Row],[p5]]</f>
        <v>24</v>
      </c>
      <c r="W24" s="1">
        <f t="shared" ref="W24:W25" si="0">SUMPRODUCT(H24:L24,H24:L24)</f>
        <v>190</v>
      </c>
      <c r="X24" s="1">
        <f>Tabla134[[#This Row],[rTr]]/(Tabla134[[#This Row],[p1]]*Tabla134[[#This Row],[Ap1]] + Tabla134[[#This Row],[p2]]*Tabla134[[#This Row],[Ap2]] + Tabla134[[#This Row],[p3]]*Tabla134[[#This Row],[Ap3]]+Tabla134[[#This Row],[p4]]*Tabla134[[#This Row],[Ap4]]+Tabla134[[#This Row],[p5]]*Tabla134[[#This Row],[Ap5]])</f>
        <v>0.17335766423357665</v>
      </c>
      <c r="Y24" s="1"/>
    </row>
    <row r="25" spans="1:25" x14ac:dyDescent="0.25">
      <c r="B25" s="1">
        <v>2</v>
      </c>
      <c r="C25" s="13">
        <f>C24+X24*M24</f>
        <v>1.2135036496350367</v>
      </c>
      <c r="D25" s="13">
        <f>D24+X24*N24</f>
        <v>1.3868613138686132</v>
      </c>
      <c r="E25" s="13">
        <f>E24+X24*O24</f>
        <v>1.0401459854014599</v>
      </c>
      <c r="F25" s="13">
        <f>F24+X24*P24</f>
        <v>0.86678832116788329</v>
      </c>
      <c r="G25" s="13">
        <f>G24+X24*Q24</f>
        <v>0.69343065693430661</v>
      </c>
      <c r="H25" s="1">
        <f>H24-X24*R24</f>
        <v>-1.3211678832116789</v>
      </c>
      <c r="I25" s="1">
        <f>I24-X24*S24</f>
        <v>-0.49452554744525656</v>
      </c>
      <c r="J25" s="1">
        <f>J24-X24*T24</f>
        <v>1.3193430656934302</v>
      </c>
      <c r="K25" s="1">
        <f>K24-U24*X24</f>
        <v>1.1861313868613137</v>
      </c>
      <c r="L25" s="1">
        <f t="shared" ref="L25" si="1">L24-V24*X24</f>
        <v>-0.16058394160583944</v>
      </c>
      <c r="M25" s="1">
        <f>Tabla134[[#This Row],[r1]]+Tabla134[[#This Row],[Beta]]*M24</f>
        <v>-1.1309373168522565</v>
      </c>
      <c r="N25" s="1">
        <f>Tabla134[[#This Row],[r2]]+Tabla134[[#This Row],[Beta]]*N24</f>
        <v>-0.27711918589163087</v>
      </c>
      <c r="O25" s="1">
        <f>Tabla134[[#This Row],[r3]]+Tabla134[[#This Row],[Beta]]*O24</f>
        <v>1.4823978368586495</v>
      </c>
      <c r="P25" s="1">
        <f>Tabla134[[#This Row],[r4]]+Tabla134[[#This Row],[Beta]]*P24</f>
        <v>1.3220103628323296</v>
      </c>
      <c r="Q25" s="1">
        <f>Tabla134[[#This Row],[r5]]+Tabla134[[#This Row],[Beta]]*Q24</f>
        <v>-5.1880760829026609E-2</v>
      </c>
      <c r="R25" s="1">
        <f>10*Tabla134[[#This Row],[p1]]-2*Tabla134[[#This Row],[p2]]-1*Tabla134[[#This Row],[p3]]+0*Tabla134[[#This Row],[p4]]+0*Tabla134[[#This Row],[p5]]</f>
        <v>-12.237532633597953</v>
      </c>
      <c r="S25" s="1">
        <f>-2*Tabla134[[#This Row],[p1]]+10*Tabla134[[#This Row],[p2]]-2*Tabla134[[#This Row],[p3]]-1*Tabla134[[#This Row],[p4]]+0*Tabla134[[#This Row],[p5]]</f>
        <v>-4.7961232617614247</v>
      </c>
      <c r="T25" s="1">
        <f>-1*Tabla134[[#This Row],[p1]]-2*Tabla134[[#This Row],[p2]]+10*Tabla134[[#This Row],[p3]]-2*Tabla134[[#This Row],[p4]]+0*Tabla134[[#This Row],[p5]]</f>
        <v>13.865133331557352</v>
      </c>
      <c r="U25" s="1">
        <f>0*Tabla134[[#This Row],[p1]]-1*Tabla134[[#This Row],[p2]]-2*Tabla134[[#This Row],[p3]]+10*Tabla134[[#This Row],[p4]]-2*Tabla134[[#This Row],[p5]]</f>
        <v>10.636188662155684</v>
      </c>
      <c r="V25" s="1">
        <f>0*Tabla134[[#This Row],[p1]]+0*Tabla134[[#This Row],[p2]]-1*Tabla134[[#This Row],[p3]]-2*Tabla134[[#This Row],[p4]]+10*Tabla134[[#This Row],[p5]]</f>
        <v>-4.6452261708135749</v>
      </c>
      <c r="W25" s="1">
        <f t="shared" si="0"/>
        <v>5.1634010868986095</v>
      </c>
      <c r="X25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0.10321688137737661</v>
      </c>
      <c r="Y25" s="1">
        <f>W25/W24</f>
        <v>2.7175795194203208E-2</v>
      </c>
    </row>
    <row r="26" spans="1:25" x14ac:dyDescent="0.25">
      <c r="B26" s="1">
        <v>3</v>
      </c>
      <c r="C26" s="13">
        <f t="shared" ref="C26:C35" si="2">C25+X25*M25</f>
        <v>1.0967718267562487</v>
      </c>
      <c r="D26" s="13">
        <f t="shared" ref="D26:D35" si="3">D25+X25*N25</f>
        <v>1.3582579357310416</v>
      </c>
      <c r="E26" s="13">
        <f t="shared" ref="E26:E35" si="4">E25+X25*O25</f>
        <v>1.1931544670825787</v>
      </c>
      <c r="F26" s="13">
        <f t="shared" ref="F26:F35" si="5">F25+X25*P25</f>
        <v>1.0032421079680105</v>
      </c>
      <c r="G26" s="13">
        <f t="shared" ref="G26:G35" si="6">G25+X25*Q25</f>
        <v>0.68807568659804896</v>
      </c>
      <c r="H26" s="1">
        <f t="shared" ref="H26:H35" si="7">H25-X25*R25</f>
        <v>-5.8047929017823741E-2</v>
      </c>
      <c r="I26" s="1">
        <f t="shared" ref="I26:I35" si="8">I25-X25*S25</f>
        <v>5.1533833524902706E-4</v>
      </c>
      <c r="J26" s="1">
        <f t="shared" ref="J26:J35" si="9">J25-X25*T25</f>
        <v>-0.11177275667143571</v>
      </c>
      <c r="K26" s="1">
        <f t="shared" ref="K26:K35" si="10">K25-U25*X25</f>
        <v>8.8297163412192514E-2</v>
      </c>
      <c r="L26" s="1">
        <f t="shared" ref="L26:L35" si="11">L25-V25*X25</f>
        <v>0.31888181703811069</v>
      </c>
      <c r="M26" s="1">
        <f>Tabla134[[#This Row],[r1]]+Tabla134[[#This Row],[Beta]]*M25</f>
        <v>-8.5502180959556973E-2</v>
      </c>
      <c r="N26" s="1">
        <f>Tabla134[[#This Row],[r2]]+Tabla134[[#This Row],[Beta]]*N25</f>
        <v>-6.2119133293547218E-3</v>
      </c>
      <c r="O26" s="1">
        <f>Tabla134[[#This Row],[r3]]+Tabla134[[#This Row],[Beta]]*O25</f>
        <v>-7.5786567972425389E-2</v>
      </c>
      <c r="P26" s="1">
        <f>Tabla134[[#This Row],[r4]]+Tabla134[[#This Row],[Beta]]*P25</f>
        <v>0.12038984001764794</v>
      </c>
      <c r="Q26" s="1">
        <f>Tabla134[[#This Row],[r5]]+Tabla134[[#This Row],[Beta]]*Q25</f>
        <v>0.31762237722875564</v>
      </c>
      <c r="R26" s="1">
        <f>10*Tabla134[[#This Row],[p1]]-2*Tabla134[[#This Row],[p2]]-1*Tabla134[[#This Row],[p3]]+0*Tabla134[[#This Row],[p4]]+0*Tabla134[[#This Row],[p5]]</f>
        <v>-0.76681141496443495</v>
      </c>
      <c r="S26" s="1">
        <f>-2*Tabla134[[#This Row],[p1]]+10*Tabla134[[#This Row],[p2]]-2*Tabla134[[#This Row],[p3]]-1*Tabla134[[#This Row],[p4]]+0*Tabla134[[#This Row],[p5]]</f>
        <v>0.14006852455276955</v>
      </c>
      <c r="T26" s="1">
        <f>-1*Tabla134[[#This Row],[p1]]-2*Tabla134[[#This Row],[p2]]+10*Tabla134[[#This Row],[p3]]-2*Tabla134[[#This Row],[p4]]+0*Tabla134[[#This Row],[p5]]</f>
        <v>-0.90071935214128329</v>
      </c>
      <c r="U26" s="1">
        <f>0*Tabla134[[#This Row],[p1]]-1*Tabla134[[#This Row],[p2]]-2*Tabla134[[#This Row],[p3]]+10*Tabla134[[#This Row],[p4]]-2*Tabla134[[#This Row],[p5]]</f>
        <v>0.72643869499317359</v>
      </c>
      <c r="V26" s="1">
        <f>0*Tabla134[[#This Row],[p1]]+0*Tabla134[[#This Row],[p2]]-1*Tabla134[[#This Row],[p3]]-2*Tabla134[[#This Row],[p4]]+10*Tabla134[[#This Row],[p5]]</f>
        <v>3.0112306602246859</v>
      </c>
      <c r="W26" s="1">
        <f t="shared" ref="W26:W35" si="12">SUMPRODUCT(H26:L26,H26:L26)</f>
        <v>0.12534497907495659</v>
      </c>
      <c r="X26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0.10650920328338788</v>
      </c>
      <c r="Y26" s="1">
        <f t="shared" ref="Y26:Y35" si="13">W26/W25</f>
        <v>2.4275661906839181E-2</v>
      </c>
    </row>
    <row r="27" spans="1:25" x14ac:dyDescent="0.25">
      <c r="B27" s="14">
        <v>4</v>
      </c>
      <c r="C27" s="13">
        <f t="shared" si="2"/>
        <v>1.0876650575832543</v>
      </c>
      <c r="D27" s="13">
        <f t="shared" si="3"/>
        <v>1.3575963097914665</v>
      </c>
      <c r="E27" s="13">
        <f t="shared" si="4"/>
        <v>1.1850825001082532</v>
      </c>
      <c r="F27" s="13">
        <f t="shared" si="5"/>
        <v>1.0160647339117046</v>
      </c>
      <c r="G27" s="13">
        <f t="shared" si="6"/>
        <v>0.72190539294165945</v>
      </c>
      <c r="H27" s="1">
        <f t="shared" si="7"/>
        <v>2.3624543858645555E-2</v>
      </c>
      <c r="I27" s="1">
        <f t="shared" si="8"/>
        <v>-1.4403248619946112E-2</v>
      </c>
      <c r="J27" s="1">
        <f t="shared" si="9"/>
        <v>-1.5837856092938335E-2</v>
      </c>
      <c r="K27" s="1">
        <f t="shared" si="10"/>
        <v>1.0924756774245578E-2</v>
      </c>
      <c r="L27" s="1">
        <f t="shared" si="11"/>
        <v>-1.8419614849306543E-3</v>
      </c>
      <c r="M27" s="1">
        <f>Tabla134[[#This Row],[r1]]+Tabla134[[#This Row],[Beta]]*M26</f>
        <v>2.2847487560601721E-2</v>
      </c>
      <c r="N27" s="1">
        <f>Tabla134[[#This Row],[r2]]+Tabla134[[#This Row],[Beta]]*N26</f>
        <v>-1.4459703394798707E-2</v>
      </c>
      <c r="O27" s="1">
        <f>Tabla134[[#This Row],[r3]]+Tabla134[[#This Row],[Beta]]*O26</f>
        <v>-1.6526615482338657E-2</v>
      </c>
      <c r="P27" s="1">
        <f>Tabla134[[#This Row],[r4]]+Tabla134[[#This Row],[Beta]]*P26</f>
        <v>1.2018877209026679E-2</v>
      </c>
      <c r="Q27" s="1">
        <f>Tabla134[[#This Row],[r5]]+Tabla134[[#This Row],[Beta]]*Q26</f>
        <v>1.0446370305154189E-3</v>
      </c>
      <c r="R27" s="1">
        <f>10*Tabla134[[#This Row],[p1]]-2*Tabla134[[#This Row],[p2]]-1*Tabla134[[#This Row],[p3]]+0*Tabla134[[#This Row],[p4]]+0*Tabla134[[#This Row],[p5]]</f>
        <v>0.27392089787795326</v>
      </c>
      <c r="S27" s="1">
        <f>-2*Tabla134[[#This Row],[p1]]+10*Tabla134[[#This Row],[p2]]-2*Tabla134[[#This Row],[p3]]-1*Tabla134[[#This Row],[p4]]+0*Tabla134[[#This Row],[p5]]</f>
        <v>-0.16925765531353987</v>
      </c>
      <c r="T27" s="1">
        <f>-1*Tabla134[[#This Row],[p1]]-2*Tabla134[[#This Row],[p2]]+10*Tabla134[[#This Row],[p3]]-2*Tabla134[[#This Row],[p4]]+0*Tabla134[[#This Row],[p5]]</f>
        <v>-0.18323199001244425</v>
      </c>
      <c r="U27" s="1">
        <f>0*Tabla134[[#This Row],[p1]]-1*Tabla134[[#This Row],[p2]]-2*Tabla134[[#This Row],[p3]]+10*Tabla134[[#This Row],[p4]]-2*Tabla134[[#This Row],[p5]]</f>
        <v>0.16561243238871196</v>
      </c>
      <c r="V27" s="1">
        <f>0*Tabla134[[#This Row],[p1]]+0*Tabla134[[#This Row],[p2]]-1*Tabla134[[#This Row],[p3]]-2*Tabla134[[#This Row],[p4]]+10*Tabla134[[#This Row],[p5]]</f>
        <v>2.9352313694394894E-3</v>
      </c>
      <c r="W27" s="1">
        <f t="shared" si="12"/>
        <v>1.1391534616460636E-3</v>
      </c>
      <c r="X27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8.2982915282694053E-2</v>
      </c>
      <c r="Y27" s="1">
        <f t="shared" si="13"/>
        <v>9.0881459317556472E-3</v>
      </c>
    </row>
    <row r="28" spans="1:25" x14ac:dyDescent="0.25">
      <c r="B28" s="14">
        <v>5</v>
      </c>
      <c r="C28" s="15">
        <f t="shared" si="2"/>
        <v>1.0895610087079182</v>
      </c>
      <c r="D28" s="15">
        <f t="shared" si="3"/>
        <v>1.356396401449643</v>
      </c>
      <c r="E28" s="15">
        <f t="shared" si="4"/>
        <v>1.1837110733757727</v>
      </c>
      <c r="F28" s="15">
        <f t="shared" si="5"/>
        <v>1.0170620953809344</v>
      </c>
      <c r="G28" s="15">
        <f t="shared" si="6"/>
        <v>0.72199207996786385</v>
      </c>
      <c r="H28" s="14">
        <f t="shared" si="7"/>
        <v>8.9378919587987035E-4</v>
      </c>
      <c r="I28" s="14">
        <f t="shared" si="8"/>
        <v>-3.5775494811520273E-4</v>
      </c>
      <c r="J28" s="14">
        <f t="shared" si="9"/>
        <v>-6.3273138865623142E-4</v>
      </c>
      <c r="K28" s="14">
        <f t="shared" si="10"/>
        <v>-2.8182456724278031E-3</v>
      </c>
      <c r="L28" s="14">
        <f t="shared" si="11"/>
        <v>-2.0855355409959576E-3</v>
      </c>
      <c r="M28" s="14">
        <f>Tabla134[[#This Row],[r1]]+Tabla134[[#This Row],[Beta]]*M27</f>
        <v>1.166942628080848E-3</v>
      </c>
      <c r="N28" s="14">
        <f>Tabla134[[#This Row],[r2]]+Tabla134[[#This Row],[Beta]]*N27</f>
        <v>-5.3062811854240983E-4</v>
      </c>
      <c r="O28" s="14">
        <f>Tabla134[[#This Row],[r3]]+Tabla134[[#This Row],[Beta]]*O27</f>
        <v>-8.3031555320354459E-4</v>
      </c>
      <c r="P28" s="14">
        <f>Tabla134[[#This Row],[r4]]+Tabla134[[#This Row],[Beta]]*P27</f>
        <v>-2.6745538309445867E-3</v>
      </c>
      <c r="Q28" s="14">
        <f>Tabla134[[#This Row],[r5]]+Tabla134[[#This Row],[Beta]]*Q27</f>
        <v>-2.0730463695046654E-3</v>
      </c>
      <c r="R28" s="14">
        <f>10*Tabla134[[#This Row],[p1]]-2*Tabla134[[#This Row],[p2]]-1*Tabla134[[#This Row],[p3]]+0*Tabla134[[#This Row],[p4]]+0*Tabla134[[#This Row],[p5]]</f>
        <v>1.3560998071096847E-2</v>
      </c>
      <c r="S28" s="14">
        <f>-2*Tabla134[[#This Row],[p1]]+10*Tabla134[[#This Row],[p2]]-2*Tabla134[[#This Row],[p3]]-1*Tabla134[[#This Row],[p4]]+0*Tabla134[[#This Row],[p5]]</f>
        <v>-3.3049815042341187E-3</v>
      </c>
      <c r="T28" s="14">
        <f>-1*Tabla134[[#This Row],[p1]]-2*Tabla134[[#This Row],[p2]]+10*Tabla134[[#This Row],[p3]]-2*Tabla134[[#This Row],[p4]]+0*Tabla134[[#This Row],[p5]]</f>
        <v>-3.0597342611423011E-3</v>
      </c>
      <c r="U28" s="14">
        <f>0*Tabla134[[#This Row],[p1]]-1*Tabla134[[#This Row],[p2]]-2*Tabla134[[#This Row],[p3]]+10*Tabla134[[#This Row],[p4]]-2*Tabla134[[#This Row],[p5]]</f>
        <v>-2.0408186345487037E-2</v>
      </c>
      <c r="V28" s="14">
        <f>0*Tabla134[[#This Row],[p1]]+0*Tabla134[[#This Row],[p2]]-1*Tabla134[[#This Row],[p3]]-2*Tabla134[[#This Row],[p4]]+10*Tabla134[[#This Row],[p5]]</f>
        <v>-1.4551040479953935E-2</v>
      </c>
      <c r="W28" s="14">
        <f t="shared" si="12"/>
        <v>1.3619163902678681E-5</v>
      </c>
      <c r="X28" s="14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0.12987089725766232</v>
      </c>
      <c r="Y28" s="14">
        <f t="shared" si="13"/>
        <v>1.1955512897269474E-2</v>
      </c>
    </row>
    <row r="29" spans="1:25" x14ac:dyDescent="0.25">
      <c r="B29" s="1">
        <v>6</v>
      </c>
      <c r="C29" s="13">
        <f t="shared" si="2"/>
        <v>1.0897125605940752</v>
      </c>
      <c r="D29" s="13">
        <f t="shared" si="3"/>
        <v>1.3563274882997778</v>
      </c>
      <c r="E29" s="13">
        <f t="shared" si="4"/>
        <v>1.1836032395498712</v>
      </c>
      <c r="F29" s="13">
        <f t="shared" si="5"/>
        <v>1.0167147486751458</v>
      </c>
      <c r="G29" s="13">
        <f t="shared" si="6"/>
        <v>0.72172285157579952</v>
      </c>
      <c r="H29" s="1">
        <f t="shared" si="7"/>
        <v>-8.6738979132290508E-4</v>
      </c>
      <c r="I29" s="1">
        <f t="shared" si="8"/>
        <v>7.146596525966077E-5</v>
      </c>
      <c r="J29" s="1">
        <f t="shared" si="9"/>
        <v>-2.3536095479167031E-4</v>
      </c>
      <c r="K29" s="1">
        <f t="shared" si="10"/>
        <v>-1.6781620033782911E-4</v>
      </c>
      <c r="L29" s="1">
        <f t="shared" si="11"/>
        <v>-1.9577885783177455E-4</v>
      </c>
      <c r="M29" s="1">
        <f>Tabla134[[#This Row],[r1]]+Tabla134[[#This Row],[Beta]]*M28</f>
        <v>-7.9204292446414376E-4</v>
      </c>
      <c r="N29" s="1">
        <f>Tabla134[[#This Row],[r2]]+Tabla134[[#This Row],[Beta]]*N28</f>
        <v>3.7204498382679037E-5</v>
      </c>
      <c r="O29" s="1">
        <f>Tabla134[[#This Row],[r3]]+Tabla134[[#This Row],[Beta]]*O28</f>
        <v>-2.8897256682171079E-4</v>
      </c>
      <c r="P29" s="1">
        <f>Tabla134[[#This Row],[r4]]+Tabla134[[#This Row],[Beta]]*P28</f>
        <v>-3.4050613946379123E-4</v>
      </c>
      <c r="Q29" s="1">
        <f>Tabla134[[#This Row],[r5]]+Tabla134[[#This Row],[Beta]]*Q28</f>
        <v>-3.2963080996415046E-4</v>
      </c>
      <c r="R29" s="1">
        <f>10*Tabla134[[#This Row],[p1]]-2*Tabla134[[#This Row],[p2]]-1*Tabla134[[#This Row],[p3]]+0*Tabla134[[#This Row],[p4]]+0*Tabla134[[#This Row],[p5]]</f>
        <v>-7.7058656745850841E-3</v>
      </c>
      <c r="S29" s="1">
        <f>-2*Tabla134[[#This Row],[p1]]+10*Tabla134[[#This Row],[p2]]-2*Tabla134[[#This Row],[p3]]-1*Tabla134[[#This Row],[p4]]+0*Tabla134[[#This Row],[p5]]</f>
        <v>2.8745821058622908E-3</v>
      </c>
      <c r="T29" s="1">
        <f>-1*Tabla134[[#This Row],[p1]]-2*Tabla134[[#This Row],[p2]]+10*Tabla134[[#This Row],[p3]]-2*Tabla134[[#This Row],[p4]]+0*Tabla134[[#This Row],[p5]]</f>
        <v>-1.4910794615907398E-3</v>
      </c>
      <c r="U29" s="1">
        <f>0*Tabla134[[#This Row],[p1]]-1*Tabla134[[#This Row],[p2]]-2*Tabla134[[#This Row],[p3]]+10*Tabla134[[#This Row],[p4]]-2*Tabla134[[#This Row],[p5]]</f>
        <v>-2.2050591394488688E-3</v>
      </c>
      <c r="V29" s="1">
        <f>0*Tabla134[[#This Row],[p1]]+0*Tabla134[[#This Row],[p2]]-1*Tabla134[[#This Row],[p3]]-2*Tabla134[[#This Row],[p4]]+10*Tabla134[[#This Row],[p5]]</f>
        <v>-2.3263232538922114E-3</v>
      </c>
      <c r="W29" s="1">
        <f t="shared" si="12"/>
        <v>8.7935885159187509E-7</v>
      </c>
      <c r="X29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0.10777950604881609</v>
      </c>
      <c r="Y29" s="1">
        <f t="shared" si="13"/>
        <v>6.4567755985293546E-2</v>
      </c>
    </row>
    <row r="30" spans="1:25" x14ac:dyDescent="0.25">
      <c r="B30" s="1">
        <v>7</v>
      </c>
      <c r="C30" s="13">
        <f t="shared" si="2"/>
        <v>1.0896271945989069</v>
      </c>
      <c r="D30" s="13">
        <f t="shared" si="3"/>
        <v>1.3563314981822363</v>
      </c>
      <c r="E30" s="13">
        <f t="shared" si="4"/>
        <v>1.1835720942293575</v>
      </c>
      <c r="F30" s="13">
        <f t="shared" si="5"/>
        <v>1.0166780490916278</v>
      </c>
      <c r="G30" s="13">
        <f t="shared" si="6"/>
        <v>0.72168732412992309</v>
      </c>
      <c r="H30" s="1">
        <f t="shared" si="7"/>
        <v>-3.6855395237597776E-5</v>
      </c>
      <c r="I30" s="1">
        <f t="shared" si="8"/>
        <v>-2.383550742069425E-4</v>
      </c>
      <c r="J30" s="1">
        <f t="shared" si="9"/>
        <v>-7.4653146941885734E-5</v>
      </c>
      <c r="K30" s="1">
        <f t="shared" si="10"/>
        <v>6.9843984520397433E-5</v>
      </c>
      <c r="L30" s="1">
        <f t="shared" si="11"/>
        <v>5.4951113382602592E-5</v>
      </c>
      <c r="M30" s="1">
        <f>Tabla134[[#This Row],[r1]]+Tabla134[[#This Row],[Beta]]*M29</f>
        <v>-1.0138402876820549E-4</v>
      </c>
      <c r="N30" s="1">
        <f>Tabla134[[#This Row],[r2]]+Tabla134[[#This Row],[Beta]]*N29</f>
        <v>-2.3532398161375985E-4</v>
      </c>
      <c r="O30" s="1">
        <f>Tabla134[[#This Row],[r3]]+Tabla134[[#This Row],[Beta]]*O29</f>
        <v>-9.8196069034716548E-5</v>
      </c>
      <c r="P30" s="1">
        <f>Tabla134[[#This Row],[r4]]+Tabla134[[#This Row],[Beta]]*P29</f>
        <v>4.2102563936094638E-5</v>
      </c>
      <c r="Q30" s="1">
        <f>Tabla134[[#This Row],[r5]]+Tabla134[[#This Row],[Beta]]*Q29</f>
        <v>2.8095718201887245E-5</v>
      </c>
      <c r="R30" s="1">
        <f>10*Tabla134[[#This Row],[p1]]-2*Tabla134[[#This Row],[p2]]-1*Tabla134[[#This Row],[p3]]+0*Tabla134[[#This Row],[p4]]+0*Tabla134[[#This Row],[p5]]</f>
        <v>-4.4499625541981856E-4</v>
      </c>
      <c r="S30" s="1">
        <f>-2*Tabla134[[#This Row],[p1]]+10*Tabla134[[#This Row],[p2]]-2*Tabla134[[#This Row],[p3]]-1*Tabla134[[#This Row],[p4]]+0*Tabla134[[#This Row],[p5]]</f>
        <v>-1.996182184467849E-3</v>
      </c>
      <c r="T30" s="1">
        <f>-1*Tabla134[[#This Row],[p1]]-2*Tabla134[[#This Row],[p2]]+10*Tabla134[[#This Row],[p3]]-2*Tabla134[[#This Row],[p4]]+0*Tabla134[[#This Row],[p5]]</f>
        <v>-4.9413382622362956E-4</v>
      </c>
      <c r="U30" s="1">
        <f>0*Tabla134[[#This Row],[p1]]-1*Tabla134[[#This Row],[p2]]-2*Tabla134[[#This Row],[p3]]+10*Tabla134[[#This Row],[p4]]-2*Tabla134[[#This Row],[p5]]</f>
        <v>7.9655032264036487E-4</v>
      </c>
      <c r="V30" s="1">
        <f>0*Tabla134[[#This Row],[p1]]+0*Tabla134[[#This Row],[p2]]-1*Tabla134[[#This Row],[p3]]-2*Tabla134[[#This Row],[p4]]+10*Tabla134[[#This Row],[p5]]</f>
        <v>2.9494812318139971E-4</v>
      </c>
      <c r="W30" s="1">
        <f t="shared" si="12"/>
        <v>7.1642360942316553E-8</v>
      </c>
      <c r="X30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0.11837591067382033</v>
      </c>
      <c r="Y30" s="1">
        <f t="shared" si="13"/>
        <v>8.1471131850921488E-2</v>
      </c>
    </row>
    <row r="31" spans="1:25" x14ac:dyDescent="0.25">
      <c r="B31" s="1">
        <v>8</v>
      </c>
      <c r="C31" s="13">
        <f t="shared" si="2"/>
        <v>1.0896151931721736</v>
      </c>
      <c r="D31" s="13">
        <f t="shared" si="3"/>
        <v>1.3563036414916094</v>
      </c>
      <c r="E31" s="13">
        <f t="shared" si="4"/>
        <v>1.1835604701802609</v>
      </c>
      <c r="F31" s="13">
        <f t="shared" si="5"/>
        <v>1.0166830330209755</v>
      </c>
      <c r="G31" s="13">
        <f t="shared" si="6"/>
        <v>0.72169064998615129</v>
      </c>
      <c r="H31" s="1">
        <f t="shared" si="7"/>
        <v>1.5821441744163204E-5</v>
      </c>
      <c r="I31" s="1">
        <f t="shared" si="8"/>
        <v>-2.0551902497048719E-6</v>
      </c>
      <c r="J31" s="1">
        <f t="shared" si="9"/>
        <v>-1.6159605267924301E-5</v>
      </c>
      <c r="K31" s="1">
        <f t="shared" si="10"/>
        <v>-2.4448385319681171E-5</v>
      </c>
      <c r="L31" s="1">
        <f t="shared" si="11"/>
        <v>2.0036360699470261E-5</v>
      </c>
      <c r="M31" s="1">
        <f>Tabla134[[#This Row],[r1]]+Tabla134[[#This Row],[Beta]]*M30</f>
        <v>1.3677710078281796E-5</v>
      </c>
      <c r="N31" s="1">
        <f>Tabla134[[#This Row],[r2]]+Tabla134[[#This Row],[Beta]]*N30</f>
        <v>-7.0310377994218551E-6</v>
      </c>
      <c r="O31" s="1">
        <f>Tabla134[[#This Row],[r3]]+Tabla134[[#This Row],[Beta]]*O30</f>
        <v>-1.8235928582477909E-5</v>
      </c>
      <c r="P31" s="1">
        <f>Tabla134[[#This Row],[r4]]+Tabla134[[#This Row],[Beta]]*P30</f>
        <v>-2.3558140567907138E-5</v>
      </c>
      <c r="Q31" s="1">
        <f>Tabla134[[#This Row],[r5]]+Tabla134[[#This Row],[Beta]]*Q30</f>
        <v>2.0630435343345084E-5</v>
      </c>
      <c r="R31" s="1">
        <f>10*Tabla134[[#This Row],[p1]]-2*Tabla134[[#This Row],[p2]]-1*Tabla134[[#This Row],[p3]]+0*Tabla134[[#This Row],[p4]]+0*Tabla134[[#This Row],[p5]]</f>
        <v>1.6907510496413957E-4</v>
      </c>
      <c r="S31" s="1">
        <f>-2*Tabla134[[#This Row],[p1]]+10*Tabla134[[#This Row],[p2]]-2*Tabla134[[#This Row],[p3]]-1*Tabla134[[#This Row],[p4]]+0*Tabla134[[#This Row],[p5]]</f>
        <v>-3.7635800417919188E-5</v>
      </c>
      <c r="T31" s="1">
        <f>-1*Tabla134[[#This Row],[p1]]-2*Tabla134[[#This Row],[p2]]+10*Tabla134[[#This Row],[p3]]-2*Tabla134[[#This Row],[p4]]+0*Tabla134[[#This Row],[p5]]</f>
        <v>-1.348586391684029E-4</v>
      </c>
      <c r="U31" s="1">
        <f>0*Tabla134[[#This Row],[p1]]-1*Tabla134[[#This Row],[p2]]-2*Tabla134[[#This Row],[p3]]+10*Tabla134[[#This Row],[p4]]-2*Tabla134[[#This Row],[p5]]</f>
        <v>-2.3333938140138386E-4</v>
      </c>
      <c r="V31" s="1">
        <f>0*Tabla134[[#This Row],[p1]]+0*Tabla134[[#This Row],[p2]]-1*Tabla134[[#This Row],[p3]]-2*Tabla134[[#This Row],[p4]]+10*Tabla134[[#This Row],[p5]]</f>
        <v>2.7165656315174301E-4</v>
      </c>
      <c r="W31" s="1">
        <f t="shared" si="12"/>
        <v>1.514853963060437E-9</v>
      </c>
      <c r="X31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9.3869414153521485E-2</v>
      </c>
      <c r="Y31" s="1">
        <f t="shared" si="13"/>
        <v>2.1144668365691274E-2</v>
      </c>
    </row>
    <row r="32" spans="1:25" x14ac:dyDescent="0.25">
      <c r="B32" s="1">
        <v>9</v>
      </c>
      <c r="C32" s="13">
        <f t="shared" si="2"/>
        <v>1.0896164770908057</v>
      </c>
      <c r="D32" s="13">
        <f t="shared" si="3"/>
        <v>1.3563029814922103</v>
      </c>
      <c r="E32" s="13">
        <f t="shared" si="4"/>
        <v>1.1835587583843283</v>
      </c>
      <c r="F32" s="13">
        <f t="shared" si="5"/>
        <v>1.0166808216321219</v>
      </c>
      <c r="G32" s="13">
        <f t="shared" si="6"/>
        <v>0.7216925865530307</v>
      </c>
      <c r="H32" s="1">
        <f t="shared" si="7"/>
        <v>-4.9539306765728137E-8</v>
      </c>
      <c r="I32" s="1">
        <f t="shared" si="8"/>
        <v>1.4776602867240615E-6</v>
      </c>
      <c r="J32" s="1">
        <f t="shared" si="9"/>
        <v>-3.5005038156451754E-6</v>
      </c>
      <c r="K32" s="1">
        <f t="shared" si="10"/>
        <v>-2.5449542885881614E-6</v>
      </c>
      <c r="L32" s="1">
        <f t="shared" si="11"/>
        <v>-5.4638817345429688E-6</v>
      </c>
      <c r="M32" s="1">
        <f>Tabla134[[#This Row],[r1]]+Tabla134[[#This Row],[Beta]]*M31</f>
        <v>4.0886848194480811E-7</v>
      </c>
      <c r="N32" s="1">
        <f>Tabla134[[#This Row],[r2]]+Tabla134[[#This Row],[Beta]]*N31</f>
        <v>1.2420153964956196E-6</v>
      </c>
      <c r="O32" s="1">
        <f>Tabla134[[#This Row],[r3]]+Tabla134[[#This Row],[Beta]]*O31</f>
        <v>-4.1116800760522891E-6</v>
      </c>
      <c r="P32" s="1">
        <f>Tabla134[[#This Row],[r4]]+Tabla134[[#This Row],[Beta]]*P31</f>
        <v>-3.3345042250949964E-6</v>
      </c>
      <c r="Q32" s="1">
        <f>Tabla134[[#This Row],[r5]]+Tabla134[[#This Row],[Beta]]*Q31</f>
        <v>-4.7724536963880226E-6</v>
      </c>
      <c r="R32" s="1">
        <f>10*Tabla134[[#This Row],[p1]]-2*Tabla134[[#This Row],[p2]]-1*Tabla134[[#This Row],[p3]]+0*Tabla134[[#This Row],[p4]]+0*Tabla134[[#This Row],[p5]]</f>
        <v>5.7163341025091312E-6</v>
      </c>
      <c r="S32" s="1">
        <f>-2*Tabla134[[#This Row],[p1]]+10*Tabla134[[#This Row],[p2]]-2*Tabla134[[#This Row],[p3]]-1*Tabla134[[#This Row],[p4]]+0*Tabla134[[#This Row],[p5]]</f>
        <v>2.3160281378266151E-5</v>
      </c>
      <c r="T32" s="1">
        <f>-1*Tabla134[[#This Row],[p1]]-2*Tabla134[[#This Row],[p2]]+10*Tabla134[[#This Row],[p3]]-2*Tabla134[[#This Row],[p4]]+0*Tabla134[[#This Row],[p5]]</f>
        <v>-3.734069158526895E-5</v>
      </c>
      <c r="U32" s="1">
        <f>0*Tabla134[[#This Row],[p1]]-1*Tabla134[[#This Row],[p2]]-2*Tabla134[[#This Row],[p3]]+10*Tabla134[[#This Row],[p4]]-2*Tabla134[[#This Row],[p5]]</f>
        <v>-1.6818790102564961E-5</v>
      </c>
      <c r="V32" s="1">
        <f>0*Tabla134[[#This Row],[p1]]+0*Tabla134[[#This Row],[p2]]-1*Tabla134[[#This Row],[p3]]-2*Tabla134[[#This Row],[p4]]+10*Tabla134[[#This Row],[p5]]</f>
        <v>-3.6943848437637944E-5</v>
      </c>
      <c r="W32" s="1">
        <f t="shared" si="12"/>
        <v>5.0770256969298251E-11</v>
      </c>
      <c r="X32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0.12174223391651245</v>
      </c>
      <c r="Y32" s="1">
        <f t="shared" si="13"/>
        <v>3.3514951412694498E-2</v>
      </c>
    </row>
    <row r="33" spans="2:27" x14ac:dyDescent="0.25">
      <c r="B33" s="1">
        <v>10</v>
      </c>
      <c r="C33" s="13">
        <f t="shared" si="2"/>
        <v>1.0896165268673681</v>
      </c>
      <c r="D33" s="13">
        <f t="shared" si="3"/>
        <v>1.3563031326979391</v>
      </c>
      <c r="E33" s="13">
        <f t="shared" si="4"/>
        <v>1.1835582578192108</v>
      </c>
      <c r="F33" s="13">
        <f t="shared" si="5"/>
        <v>1.0166804156821285</v>
      </c>
      <c r="G33" s="13">
        <f t="shared" si="6"/>
        <v>0.72169200554385649</v>
      </c>
      <c r="H33" s="1">
        <f t="shared" si="7"/>
        <v>-7.4545859021833209E-7</v>
      </c>
      <c r="I33" s="1">
        <f t="shared" si="8"/>
        <v>-1.3419241064010635E-6</v>
      </c>
      <c r="J33" s="1">
        <f t="shared" si="9"/>
        <v>1.0454353939329858E-6</v>
      </c>
      <c r="K33" s="1">
        <f t="shared" si="10"/>
        <v>-4.9739720972897353E-7</v>
      </c>
      <c r="L33" s="1">
        <f t="shared" si="11"/>
        <v>-9.6625509627186721E-7</v>
      </c>
      <c r="M33" s="1">
        <f>Tabla134[[#This Row],[r1]]+Tabla134[[#This Row],[Beta]]*M32</f>
        <v>-7.0816809798289084E-7</v>
      </c>
      <c r="N33" s="1">
        <f>Tabla134[[#This Row],[r2]]+Tabla134[[#This Row],[Beta]]*N32</f>
        <v>-1.228647178624639E-6</v>
      </c>
      <c r="O33" s="1">
        <f>Tabla134[[#This Row],[r3]]+Tabla134[[#This Row],[Beta]]*O32</f>
        <v>6.7043320931523543E-7</v>
      </c>
      <c r="P33" s="1">
        <f>Tabla134[[#This Row],[r4]]+Tabla134[[#This Row],[Beta]]*P32</f>
        <v>-8.0151775069973951E-7</v>
      </c>
      <c r="Q33" s="1">
        <f>Tabla134[[#This Row],[r5]]+Tabla134[[#This Row],[Beta]]*Q32</f>
        <v>-1.4015225609163627E-6</v>
      </c>
      <c r="R33" s="1">
        <f>10*Tabla134[[#This Row],[p1]]-2*Tabla134[[#This Row],[p2]]-1*Tabla134[[#This Row],[p3]]+0*Tabla134[[#This Row],[p4]]+0*Tabla134[[#This Row],[p5]]</f>
        <v>-5.2948198318948659E-6</v>
      </c>
      <c r="S33" s="1">
        <f>-2*Tabla134[[#This Row],[p1]]+10*Tabla134[[#This Row],[p2]]-2*Tabla134[[#This Row],[p3]]-1*Tabla134[[#This Row],[p4]]+0*Tabla134[[#This Row],[p5]]</f>
        <v>-1.1409484258211337E-5</v>
      </c>
      <c r="T33" s="1">
        <f>-1*Tabla134[[#This Row],[p1]]-2*Tabla134[[#This Row],[p2]]+10*Tabla134[[#This Row],[p3]]-2*Tabla134[[#This Row],[p4]]+0*Tabla134[[#This Row],[p5]]</f>
        <v>1.1472830049784001E-5</v>
      </c>
      <c r="U33" s="1">
        <f>0*Tabla134[[#This Row],[p1]]-1*Tabla134[[#This Row],[p2]]-2*Tabla134[[#This Row],[p3]]+10*Tabla134[[#This Row],[p4]]-2*Tabla134[[#This Row],[p5]]</f>
        <v>-5.324351625170503E-6</v>
      </c>
      <c r="V33" s="1">
        <f>0*Tabla134[[#This Row],[p1]]+0*Tabla134[[#This Row],[p2]]-1*Tabla134[[#This Row],[p3]]-2*Tabla134[[#This Row],[p4]]+10*Tabla134[[#This Row],[p5]]</f>
        <v>-1.3082623317079384E-5</v>
      </c>
      <c r="W33" s="1">
        <f t="shared" si="12"/>
        <v>4.6304568752759365E-12</v>
      </c>
      <c r="X33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9.6341857540470199E-2</v>
      </c>
      <c r="Y33" s="1">
        <f t="shared" si="13"/>
        <v>9.1204125243566581E-2</v>
      </c>
    </row>
    <row r="34" spans="2:27" ht="15" customHeight="1" x14ac:dyDescent="0.25">
      <c r="B34" s="1">
        <v>11</v>
      </c>
      <c r="C34" s="13">
        <f t="shared" si="2"/>
        <v>1.0896164586411381</v>
      </c>
      <c r="D34" s="13">
        <f t="shared" si="3"/>
        <v>1.3563030143277877</v>
      </c>
      <c r="E34" s="13">
        <f t="shared" si="4"/>
        <v>1.1835583224099915</v>
      </c>
      <c r="F34" s="13">
        <f t="shared" si="5"/>
        <v>1.0166803384624197</v>
      </c>
      <c r="G34" s="13">
        <f t="shared" si="6"/>
        <v>0.72169187051856953</v>
      </c>
      <c r="H34" s="1">
        <f t="shared" si="7"/>
        <v>-2.3534581227146056E-7</v>
      </c>
      <c r="I34" s="1">
        <f t="shared" si="8"/>
        <v>-2.427131993862296E-7</v>
      </c>
      <c r="J34" s="1">
        <f t="shared" si="9"/>
        <v>-5.9878364309329999E-8</v>
      </c>
      <c r="K34" s="1">
        <f t="shared" si="10"/>
        <v>1.556071603857411E-8</v>
      </c>
      <c r="L34" s="1">
        <f t="shared" si="11"/>
        <v>2.9414913559782856E-7</v>
      </c>
      <c r="M34" s="1">
        <f>Tabla134[[#This Row],[r1]]+Tabla134[[#This Row],[Beta]]*M33</f>
        <v>-2.6664415402771846E-7</v>
      </c>
      <c r="N34" s="1">
        <f>Tabla134[[#This Row],[r2]]+Tabla134[[#This Row],[Beta]]*N33</f>
        <v>-2.9701474079142436E-7</v>
      </c>
      <c r="O34" s="1">
        <f>Tabla134[[#This Row],[r3]]+Tabla134[[#This Row],[Beta]]*O33</f>
        <v>-3.0247761392224324E-8</v>
      </c>
      <c r="P34" s="1">
        <f>Tabla134[[#This Row],[r4]]+Tabla134[[#This Row],[Beta]]*P33</f>
        <v>-1.986332601664091E-8</v>
      </c>
      <c r="Q34" s="1">
        <f>Tabla134[[#This Row],[r5]]+Tabla134[[#This Row],[Beta]]*Q33</f>
        <v>2.3220715852259768E-7</v>
      </c>
      <c r="R34" s="1">
        <f>10*Tabla134[[#This Row],[p1]]-2*Tabla134[[#This Row],[p2]]-1*Tabla134[[#This Row],[p3]]+0*Tabla134[[#This Row],[p4]]+0*Tabla134[[#This Row],[p5]]</f>
        <v>-2.0421642973021118E-6</v>
      </c>
      <c r="S34" s="1">
        <f>-2*Tabla134[[#This Row],[p1]]+10*Tabla134[[#This Row],[p2]]-2*Tabla134[[#This Row],[p3]]-1*Tabla134[[#This Row],[p4]]+0*Tabla134[[#This Row],[p5]]</f>
        <v>-2.3565002510577168E-6</v>
      </c>
      <c r="T34" s="1">
        <f>-1*Tabla134[[#This Row],[p1]]-2*Tabla134[[#This Row],[p2]]+10*Tabla134[[#This Row],[p3]]-2*Tabla134[[#This Row],[p4]]+0*Tabla134[[#This Row],[p5]]</f>
        <v>5.979226737216059E-7</v>
      </c>
      <c r="U34" s="1">
        <f>0*Tabla134[[#This Row],[p1]]-1*Tabla134[[#This Row],[p2]]-2*Tabla134[[#This Row],[p3]]+10*Tabla134[[#This Row],[p4]]-2*Tabla134[[#This Row],[p5]]</f>
        <v>-3.0553731363573144E-7</v>
      </c>
      <c r="V34" s="1">
        <f>0*Tabla134[[#This Row],[p1]]+0*Tabla134[[#This Row],[p2]]-1*Tabla134[[#This Row],[p3]]-2*Tabla134[[#This Row],[p4]]+10*Tabla134[[#This Row],[p5]]</f>
        <v>2.392045998651483E-6</v>
      </c>
      <c r="W34" s="1">
        <f t="shared" si="12"/>
        <v>2.0464861687895694E-13</v>
      </c>
      <c r="X34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0.11446441250018463</v>
      </c>
      <c r="Y34" s="1">
        <f t="shared" si="13"/>
        <v>4.4196204044500816E-2</v>
      </c>
    </row>
    <row r="35" spans="2:27" ht="15" customHeight="1" x14ac:dyDescent="0.25">
      <c r="B35" s="1">
        <v>12</v>
      </c>
      <c r="C35" s="13">
        <f t="shared" si="2"/>
        <v>1.0896164281198717</v>
      </c>
      <c r="D35" s="13">
        <f t="shared" si="3"/>
        <v>1.3563029803301698</v>
      </c>
      <c r="E35" s="13">
        <f t="shared" si="4"/>
        <v>1.1835583189476993</v>
      </c>
      <c r="F35" s="13">
        <f t="shared" si="5"/>
        <v>1.0166803361887757</v>
      </c>
      <c r="G35" s="13">
        <f t="shared" si="6"/>
        <v>0.7216918970980255</v>
      </c>
      <c r="H35" s="1">
        <f t="shared" si="7"/>
        <v>-1.5906757519219633E-9</v>
      </c>
      <c r="I35" s="1">
        <f t="shared" si="8"/>
        <v>2.7022217407629558E-8</v>
      </c>
      <c r="J35" s="1">
        <f t="shared" si="9"/>
        <v>-1.283192318774132E-7</v>
      </c>
      <c r="K35" s="1">
        <f t="shared" si="10"/>
        <v>5.0533865140772761E-8</v>
      </c>
      <c r="L35" s="1">
        <f t="shared" si="11"/>
        <v>2.0344995688769125E-8</v>
      </c>
      <c r="M35" s="1">
        <f>Tabla134[[#This Row],[r1]]+Tabla134[[#This Row],[Beta]]*M34</f>
        <v>-2.7865883746804748E-8</v>
      </c>
      <c r="N35" s="1">
        <f>Tabla134[[#This Row],[r2]]+Tabla134[[#This Row],[Beta]]*N34</f>
        <v>-2.2457188060764775E-9</v>
      </c>
      <c r="O35" s="1">
        <f>Tabla134[[#This Row],[r3]]+Tabla134[[#This Row],[Beta]]*O34</f>
        <v>-1.3129985684126545E-7</v>
      </c>
      <c r="P35" s="1">
        <f>Tabla134[[#This Row],[r4]]+Tabla134[[#This Row],[Beta]]*P34</f>
        <v>4.8576526062927639E-8</v>
      </c>
      <c r="Q35" s="1">
        <f>Tabla134[[#This Row],[r5]]+Tabla134[[#This Row],[Beta]]*Q34</f>
        <v>4.3226770128300716E-8</v>
      </c>
      <c r="R35" s="1">
        <f>10*Tabla134[[#This Row],[p1]]-2*Tabla134[[#This Row],[p2]]-1*Tabla134[[#This Row],[p3]]+0*Tabla134[[#This Row],[p4]]+0*Tabla134[[#This Row],[p5]]</f>
        <v>-1.4286754301462907E-7</v>
      </c>
      <c r="S35" s="1">
        <f>-2*Tabla134[[#This Row],[p1]]+10*Tabla134[[#This Row],[p2]]-2*Tabla134[[#This Row],[p3]]-1*Tabla134[[#This Row],[p4]]+0*Tabla134[[#This Row],[p5]]</f>
        <v>2.4729776705244796E-7</v>
      </c>
      <c r="T35" s="1">
        <f>-1*Tabla134[[#This Row],[p1]]-2*Tabla134[[#This Row],[p2]]+10*Tabla134[[#This Row],[p3]]-2*Tabla134[[#This Row],[p4]]+0*Tabla134[[#This Row],[p5]]</f>
        <v>-1.3777942991795519E-6</v>
      </c>
      <c r="U35" s="1">
        <f>0*Tabla134[[#This Row],[p1]]-1*Tabla134[[#This Row],[p2]]-2*Tabla134[[#This Row],[p3]]+10*Tabla134[[#This Row],[p4]]-2*Tabla134[[#This Row],[p5]]</f>
        <v>6.641571528612823E-7</v>
      </c>
      <c r="V35" s="1">
        <f>0*Tabla134[[#This Row],[p1]]+0*Tabla134[[#This Row],[p2]]-1*Tabla134[[#This Row],[p3]]-2*Tabla134[[#This Row],[p4]]+10*Tabla134[[#This Row],[p5]]</f>
        <v>4.6641450599841731E-7</v>
      </c>
      <c r="W35" s="1">
        <f t="shared" si="12"/>
        <v>2.0166146128224131E-14</v>
      </c>
      <c r="X35" s="1">
        <f>Tabla134[[#This Row],[rTr]]/(Tabla134[[#This Row],[Ap1]]*Tabla134[[#This Row],[p1]]+Tabla134[[#This Row],[Ap2]]*Tabla134[[#This Row],[p2]]+Tabla134[[#This Row],[p3]]*Tabla134[[#This Row],[Ap3]]+Tabla134[[#This Row],[p4]]*Tabla134[[#This Row],[Ap4]]+Tabla134[[#This Row],[p5]]*Tabla134[[#This Row],[Ap5]])</f>
        <v>8.5177635241873495E-2</v>
      </c>
      <c r="Y35" s="1">
        <f t="shared" si="13"/>
        <v>9.8540348993180621E-2</v>
      </c>
    </row>
    <row r="36" spans="2:27" ht="18.75" x14ac:dyDescent="0.3">
      <c r="L36" s="17"/>
      <c r="M36" s="17"/>
      <c r="N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 ht="18.75" x14ac:dyDescent="0.3">
      <c r="B37" s="47" t="s">
        <v>56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 x14ac:dyDescent="0.25"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41" spans="2:27" x14ac:dyDescent="0.25">
      <c r="AA41" s="18"/>
    </row>
    <row r="43" spans="2:27" ht="18.75" x14ac:dyDescent="0.3">
      <c r="B43" s="17"/>
      <c r="C43" s="18"/>
      <c r="D43" s="18"/>
      <c r="E43" s="18"/>
      <c r="F43" s="18"/>
      <c r="G43" s="18"/>
      <c r="H43" s="18"/>
      <c r="I43" s="18"/>
      <c r="J43" s="18"/>
      <c r="K43" s="18"/>
    </row>
  </sheetData>
  <mergeCells count="9">
    <mergeCell ref="A2:Q2"/>
    <mergeCell ref="H4:Q4"/>
    <mergeCell ref="O7:O8"/>
    <mergeCell ref="A15:N15"/>
    <mergeCell ref="B37:O38"/>
    <mergeCell ref="A21:L21"/>
    <mergeCell ref="A4:D4"/>
    <mergeCell ref="A16:N16"/>
    <mergeCell ref="A19:D19"/>
  </mergeCells>
  <phoneticPr fontId="17" type="noConversion"/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Solucion Exacta</vt:lpstr>
      <vt:lpstr>Metodo Gauss-Seidel</vt:lpstr>
      <vt:lpstr>Metodo SOR</vt:lpstr>
      <vt:lpstr>Metodo GC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Desktop</cp:lastModifiedBy>
  <dcterms:created xsi:type="dcterms:W3CDTF">2026-03-14T23:00:54Z</dcterms:created>
  <dcterms:modified xsi:type="dcterms:W3CDTF">2026-03-19T18:45:43Z</dcterms:modified>
</cp:coreProperties>
</file>